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SEO Planner" sheetId="2" r:id="rId5"/>
    <sheet state="visible" name="Alternate Links Setup" sheetId="3" r:id="rId6"/>
    <sheet state="visible" name="Config" sheetId="4" r:id="rId7"/>
  </sheets>
  <definedNames/>
  <calcPr/>
  <extLst>
    <ext uri="GoogleSheetsCustomDataVersion2">
      <go:sheetsCustomData xmlns:go="http://customooxmlschemas.google.com/" r:id="rId8" roundtripDataChecksum="xHJUu7Wd27Xvhco8CAUM9wntN6f2v6nko1J06gmVcu4="/>
    </ext>
  </extLst>
</workbook>
</file>

<file path=xl/sharedStrings.xml><?xml version="1.0" encoding="utf-8"?>
<sst xmlns="http://schemas.openxmlformats.org/spreadsheetml/2006/main" count="973" uniqueCount="897">
  <si>
    <t>Language</t>
  </si>
  <si>
    <t>Sitemap Generator — New Setup Template</t>
  </si>
  <si>
    <t>Code</t>
  </si>
  <si>
    <t>Country</t>
  </si>
  <si>
    <t>Global</t>
  </si>
  <si>
    <t>This workbook is a blank starting point for setting up the sitemap system for a new set of websites. It is pre-filled with a worked example (3 example domains + a handful of pages and languages) so the formula pattern is easy to copy.</t>
  </si>
  <si>
    <t>x-default</t>
  </si>
  <si>
    <t>No region specified</t>
  </si>
  <si>
    <t>Abkhazian</t>
  </si>
  <si>
    <t>ab</t>
  </si>
  <si>
    <t>Afghanistan</t>
  </si>
  <si>
    <t>AF</t>
  </si>
  <si>
    <t>IMPORTANT — this file must be edited in Google Sheets, not directly in Excel.</t>
  </si>
  <si>
    <t>Afar</t>
  </si>
  <si>
    <t>aa</t>
  </si>
  <si>
    <t>Aland Islands</t>
  </si>
  <si>
    <t>AX</t>
  </si>
  <si>
    <t>Afrikaans</t>
  </si>
  <si>
    <t>af</t>
  </si>
  <si>
    <t>The 'SEO Planner' and 'Alternate Links Setup' tabs use Google Sheets-only functions (FILTER, REGEXEXTRACT, and Google's automatic range-spilling). These will not calculate correctly if you edit this .xlsx file directly in Microsoft Excel — formulas will show blank or error results. Before doing anything else:</t>
  </si>
  <si>
    <t>Albania</t>
  </si>
  <si>
    <t>AL</t>
  </si>
  <si>
    <t xml:space="preserve">  1. Upload this file to Google Drive.</t>
  </si>
  <si>
    <t>Albanian</t>
  </si>
  <si>
    <t>sq</t>
  </si>
  <si>
    <t xml:space="preserve">  2. Right-click it → Open with → Google Sheets (this converts it into a native Google Sheet).</t>
  </si>
  <si>
    <t>Algeria</t>
  </si>
  <si>
    <t>DZ</t>
  </si>
  <si>
    <t xml:space="preserve">  3. Do all further editing in that Google Sheet — it becomes your new master file.</t>
  </si>
  <si>
    <t>Amharic</t>
  </si>
  <si>
    <t>am</t>
  </si>
  <si>
    <t>American Samoa</t>
  </si>
  <si>
    <t>AS</t>
  </si>
  <si>
    <t>Arabic</t>
  </si>
  <si>
    <t>ar</t>
  </si>
  <si>
    <t>Andorra</t>
  </si>
  <si>
    <t>Full step-by-step setup instructions are in the accompanying file: SITEMAP_SETUP_GUIDE.md</t>
  </si>
  <si>
    <t>AD</t>
  </si>
  <si>
    <t>Aragonese</t>
  </si>
  <si>
    <t>an</t>
  </si>
  <si>
    <t>Angola</t>
  </si>
  <si>
    <t>AO</t>
  </si>
  <si>
    <t>Armenian</t>
  </si>
  <si>
    <t>hy</t>
  </si>
  <si>
    <t>Anguilla</t>
  </si>
  <si>
    <t>AI</t>
  </si>
  <si>
    <t>Assamese</t>
  </si>
  <si>
    <t>as</t>
  </si>
  <si>
    <t>Antarctica</t>
  </si>
  <si>
    <t>AQ</t>
  </si>
  <si>
    <t>Avestan</t>
  </si>
  <si>
    <t>ae</t>
  </si>
  <si>
    <t>Antigua and Barbuda</t>
  </si>
  <si>
    <t>AG</t>
  </si>
  <si>
    <t>Aymara</t>
  </si>
  <si>
    <t>ay</t>
  </si>
  <si>
    <t>Tabs in this workbook:</t>
  </si>
  <si>
    <t>Argentina</t>
  </si>
  <si>
    <t>AR</t>
  </si>
  <si>
    <t xml:space="preserve">  • Alternate Links Setup — define every language/region combination your sites will support.</t>
  </si>
  <si>
    <t>Region</t>
  </si>
  <si>
    <t>Azerbaijani</t>
  </si>
  <si>
    <t>az</t>
  </si>
  <si>
    <t>Armenia</t>
  </si>
  <si>
    <t xml:space="preserve">  • SEO Planner — the working sheet where page URLs are entered; this is what gets exported to CSV.</t>
  </si>
  <si>
    <t>AM</t>
  </si>
  <si>
    <t>Homepage</t>
  </si>
  <si>
    <t>example-com</t>
  </si>
  <si>
    <t>example-co-nz</t>
  </si>
  <si>
    <t>Bashkir</t>
  </si>
  <si>
    <t xml:space="preserve">  • Config — reference list of every language and country code (ISO/hreflang). Reusable as-is, no edits usually needed.</t>
  </si>
  <si>
    <t>example-es</t>
  </si>
  <si>
    <t>ba</t>
  </si>
  <si>
    <t>Aruba</t>
  </si>
  <si>
    <t>AW</t>
  </si>
  <si>
    <t>Basque</t>
  </si>
  <si>
    <t>Example data included:</t>
  </si>
  <si>
    <t>eu</t>
  </si>
  <si>
    <t>Australia</t>
  </si>
  <si>
    <t>AU</t>
  </si>
  <si>
    <t xml:space="preserve">  • 3 example domains: example-com, example-co-nz, example-es</t>
  </si>
  <si>
    <t>Belarusian</t>
  </si>
  <si>
    <t>Page</t>
  </si>
  <si>
    <t>be</t>
  </si>
  <si>
    <t>Austria</t>
  </si>
  <si>
    <t xml:space="preserve">  • 5 example pages: Home, About Us, Contact Us, Blog, Site Map</t>
  </si>
  <si>
    <t>AT</t>
  </si>
  <si>
    <t>Bengali</t>
  </si>
  <si>
    <t>bn</t>
  </si>
  <si>
    <t xml:space="preserve">  • 6 example language/region rows, including 3 that auto-derive from example-com to show how one physical domain can serve multiple hreflang alternates (UK, Canada, US) without new columns.</t>
  </si>
  <si>
    <t>Azerbaijan</t>
  </si>
  <si>
    <t>AZ</t>
  </si>
  <si>
    <t>Bihari</t>
  </si>
  <si>
    <t>bh</t>
  </si>
  <si>
    <t>Bahamas</t>
  </si>
  <si>
    <t>BS</t>
  </si>
  <si>
    <t>Replace the example values with your own real domains, pages and languages, then delete rows/columns you don't need. Delete this 'Start Here' tab once your setup is complete — it isn't read by the Python script.</t>
  </si>
  <si>
    <t>Bislama</t>
  </si>
  <si>
    <t>bi</t>
  </si>
  <si>
    <t>Bahrain</t>
  </si>
  <si>
    <t>BH</t>
  </si>
  <si>
    <t>Bosnian</t>
  </si>
  <si>
    <t>bs</t>
  </si>
  <si>
    <t>Bangladesh</t>
  </si>
  <si>
    <t>BD</t>
  </si>
  <si>
    <t>Breton</t>
  </si>
  <si>
    <t>br</t>
  </si>
  <si>
    <t>Barbados</t>
  </si>
  <si>
    <t>BB</t>
  </si>
  <si>
    <t>Bulgarian</t>
  </si>
  <si>
    <t>bg</t>
  </si>
  <si>
    <t>Belarus</t>
  </si>
  <si>
    <t>BY</t>
  </si>
  <si>
    <t>Burmese</t>
  </si>
  <si>
    <t>my</t>
  </si>
  <si>
    <t>Belgium</t>
  </si>
  <si>
    <t>BE</t>
  </si>
  <si>
    <t>Catalan</t>
  </si>
  <si>
    <t>ca</t>
  </si>
  <si>
    <t>Belize</t>
  </si>
  <si>
    <t>BZ</t>
  </si>
  <si>
    <t>Chamorro</t>
  </si>
  <si>
    <t>ch</t>
  </si>
  <si>
    <t>Benin</t>
  </si>
  <si>
    <t>BJ</t>
  </si>
  <si>
    <t>Chechen</t>
  </si>
  <si>
    <t>ce</t>
  </si>
  <si>
    <t>Bermuda</t>
  </si>
  <si>
    <t>BM</t>
  </si>
  <si>
    <t>Chinese</t>
  </si>
  <si>
    <t>zh</t>
  </si>
  <si>
    <t>English</t>
  </si>
  <si>
    <t>Bhutan</t>
  </si>
  <si>
    <t>BT</t>
  </si>
  <si>
    <t>Church Slavic; Slavonic; Old Bulgarian</t>
  </si>
  <si>
    <t>cu</t>
  </si>
  <si>
    <t>Bolivia</t>
  </si>
  <si>
    <t>BO</t>
  </si>
  <si>
    <t>Chuvash</t>
  </si>
  <si>
    <t>cv</t>
  </si>
  <si>
    <t>Bosnia and Herzegovina</t>
  </si>
  <si>
    <t>BA</t>
  </si>
  <si>
    <t>Cornish</t>
  </si>
  <si>
    <t>kw</t>
  </si>
  <si>
    <t>Botswana</t>
  </si>
  <si>
    <t>BW</t>
  </si>
  <si>
    <t>Corsican</t>
  </si>
  <si>
    <t>co</t>
  </si>
  <si>
    <t>Bouvet Island</t>
  </si>
  <si>
    <t>BV</t>
  </si>
  <si>
    <t>Croatian</t>
  </si>
  <si>
    <t>hr</t>
  </si>
  <si>
    <t>Brazil</t>
  </si>
  <si>
    <t>BR</t>
  </si>
  <si>
    <t>Czech</t>
  </si>
  <si>
    <t>cs</t>
  </si>
  <si>
    <t>British Virgin Islands</t>
  </si>
  <si>
    <t>VG</t>
  </si>
  <si>
    <t>Danish</t>
  </si>
  <si>
    <t>da</t>
  </si>
  <si>
    <t>British Indian Ocean Territory</t>
  </si>
  <si>
    <t>IO</t>
  </si>
  <si>
    <t>Divehi; Dhivehi; Maldivian</t>
  </si>
  <si>
    <t>dv</t>
  </si>
  <si>
    <t>Brunei Darussalam</t>
  </si>
  <si>
    <t>BN</t>
  </si>
  <si>
    <t>Dutch</t>
  </si>
  <si>
    <t>nl</t>
  </si>
  <si>
    <t>Bulgaria</t>
  </si>
  <si>
    <t>BG</t>
  </si>
  <si>
    <t>Dzongkha</t>
  </si>
  <si>
    <t>dz</t>
  </si>
  <si>
    <t>Burkina Faso</t>
  </si>
  <si>
    <t>BF</t>
  </si>
  <si>
    <t>en</t>
  </si>
  <si>
    <t>Burundi</t>
  </si>
  <si>
    <t>BI</t>
  </si>
  <si>
    <t>Esperanto</t>
  </si>
  <si>
    <t>eo</t>
  </si>
  <si>
    <t>Cambodia</t>
  </si>
  <si>
    <t>KH</t>
  </si>
  <si>
    <t>Estonian</t>
  </si>
  <si>
    <t>et</t>
  </si>
  <si>
    <t>https://www.example.com/</t>
  </si>
  <si>
    <t>Cameroon</t>
  </si>
  <si>
    <t>CM</t>
  </si>
  <si>
    <t>Faroese</t>
  </si>
  <si>
    <t>fo</t>
  </si>
  <si>
    <t>Canada</t>
  </si>
  <si>
    <t>CA</t>
  </si>
  <si>
    <t>Fijian</t>
  </si>
  <si>
    <t>fj</t>
  </si>
  <si>
    <t>Cabo Verde</t>
  </si>
  <si>
    <t>CV</t>
  </si>
  <si>
    <t>en-NZ</t>
  </si>
  <si>
    <t>es</t>
  </si>
  <si>
    <t>en-GB</t>
  </si>
  <si>
    <t>Finnish</t>
  </si>
  <si>
    <t>en-CA</t>
  </si>
  <si>
    <t>New Zealand</t>
  </si>
  <si>
    <t>en-US</t>
  </si>
  <si>
    <t>fi</t>
  </si>
  <si>
    <t/>
  </si>
  <si>
    <t>Cayman Islands</t>
  </si>
  <si>
    <t>KY</t>
  </si>
  <si>
    <t>French</t>
  </si>
  <si>
    <t>fr</t>
  </si>
  <si>
    <t>Central African Republic</t>
  </si>
  <si>
    <t>CF</t>
  </si>
  <si>
    <t>Gaelic; Scottish Gaelic</t>
  </si>
  <si>
    <t>gd</t>
  </si>
  <si>
    <t>Chad</t>
  </si>
  <si>
    <t>TD</t>
  </si>
  <si>
    <t>Galician</t>
  </si>
  <si>
    <t>gl</t>
  </si>
  <si>
    <t>Chile</t>
  </si>
  <si>
    <t>CL</t>
  </si>
  <si>
    <t>Georgian</t>
  </si>
  <si>
    <t>ka</t>
  </si>
  <si>
    <t>China</t>
  </si>
  <si>
    <t>CN</t>
  </si>
  <si>
    <t>German</t>
  </si>
  <si>
    <t>de</t>
  </si>
  <si>
    <t>Hong Kong, SAR China</t>
  </si>
  <si>
    <t>HK</t>
  </si>
  <si>
    <t>Greek, Modern (1453-)</t>
  </si>
  <si>
    <t>el</t>
  </si>
  <si>
    <t>Macao, SAR China</t>
  </si>
  <si>
    <t>MO</t>
  </si>
  <si>
    <t>Guarani</t>
  </si>
  <si>
    <t>gn</t>
  </si>
  <si>
    <t>Christmas Island</t>
  </si>
  <si>
    <t>CX</t>
  </si>
  <si>
    <t>https://www.example.co.nz/</t>
  </si>
  <si>
    <t>Gujarati</t>
  </si>
  <si>
    <t>gu</t>
  </si>
  <si>
    <t>Cocos (Keeling) Islands</t>
  </si>
  <si>
    <t>CC</t>
  </si>
  <si>
    <t>Haitian; Haitian Creole</t>
  </si>
  <si>
    <t>Home</t>
  </si>
  <si>
    <t>ht</t>
  </si>
  <si>
    <t>Colombia</t>
  </si>
  <si>
    <t>https://www.example.es/</t>
  </si>
  <si>
    <t>CO</t>
  </si>
  <si>
    <t>Hausa</t>
  </si>
  <si>
    <t>ha</t>
  </si>
  <si>
    <t>Spanish; Castilian</t>
  </si>
  <si>
    <t>Comoros</t>
  </si>
  <si>
    <t>KM</t>
  </si>
  <si>
    <t>Hebrew</t>
  </si>
  <si>
    <t>he</t>
  </si>
  <si>
    <t>Congo (Brazzaville)</t>
  </si>
  <si>
    <t>CG</t>
  </si>
  <si>
    <t>Herero</t>
  </si>
  <si>
    <t>hz</t>
  </si>
  <si>
    <t>Congo, (Kinshasa)</t>
  </si>
  <si>
    <t>CD</t>
  </si>
  <si>
    <t>Hindi</t>
  </si>
  <si>
    <t>hi</t>
  </si>
  <si>
    <t>Cook Islands</t>
  </si>
  <si>
    <t>CK</t>
  </si>
  <si>
    <t>Hiri Motu</t>
  </si>
  <si>
    <t>ho</t>
  </si>
  <si>
    <t>Costa Rica</t>
  </si>
  <si>
    <t>CR</t>
  </si>
  <si>
    <t>Hungarian</t>
  </si>
  <si>
    <t>hu</t>
  </si>
  <si>
    <t>Croatia</t>
  </si>
  <si>
    <t>HR</t>
  </si>
  <si>
    <t>Icelandic</t>
  </si>
  <si>
    <t>is</t>
  </si>
  <si>
    <t>Cuba</t>
  </si>
  <si>
    <t>CU</t>
  </si>
  <si>
    <t>Ido</t>
  </si>
  <si>
    <t>io</t>
  </si>
  <si>
    <t>Curacao</t>
  </si>
  <si>
    <t>CW</t>
  </si>
  <si>
    <t>Indonesian</t>
  </si>
  <si>
    <t>id</t>
  </si>
  <si>
    <t>Cyprus</t>
  </si>
  <si>
    <t>CY</t>
  </si>
  <si>
    <t>Interlingua (International Auxiliary Language Association)</t>
  </si>
  <si>
    <t>ia</t>
  </si>
  <si>
    <t>Czech Republic</t>
  </si>
  <si>
    <t>CZ</t>
  </si>
  <si>
    <t>Interlingue</t>
  </si>
  <si>
    <t>ie</t>
  </si>
  <si>
    <t>Denmark</t>
  </si>
  <si>
    <t>DK</t>
  </si>
  <si>
    <t>Inuktitut</t>
  </si>
  <si>
    <t>iu</t>
  </si>
  <si>
    <t>About Us</t>
  </si>
  <si>
    <t>Djibouti</t>
  </si>
  <si>
    <t>https://www.example.com/about-us</t>
  </si>
  <si>
    <t>DJ</t>
  </si>
  <si>
    <t>https://www.example.co.nz/about-us</t>
  </si>
  <si>
    <t>https://www.example.es/sobre-nosotros</t>
  </si>
  <si>
    <t>Inupiaq</t>
  </si>
  <si>
    <t>ik</t>
  </si>
  <si>
    <t>Dominica</t>
  </si>
  <si>
    <t>DM</t>
  </si>
  <si>
    <t>Irish</t>
  </si>
  <si>
    <t>ga</t>
  </si>
  <si>
    <t>Dominican Republic</t>
  </si>
  <si>
    <t>DO</t>
  </si>
  <si>
    <t>Italian</t>
  </si>
  <si>
    <t>it</t>
  </si>
  <si>
    <t>Ecuador</t>
  </si>
  <si>
    <t>EC</t>
  </si>
  <si>
    <t>Japanese</t>
  </si>
  <si>
    <t>ja</t>
  </si>
  <si>
    <t>Egypt</t>
  </si>
  <si>
    <t>EG</t>
  </si>
  <si>
    <t>Javanese</t>
  </si>
  <si>
    <t>jv</t>
  </si>
  <si>
    <t>El Salvador</t>
  </si>
  <si>
    <t>SV</t>
  </si>
  <si>
    <t>Kalaallisut</t>
  </si>
  <si>
    <t>kl</t>
  </si>
  <si>
    <t>Equatorial Guinea</t>
  </si>
  <si>
    <t>GQ</t>
  </si>
  <si>
    <t>Kannada</t>
  </si>
  <si>
    <t>kn</t>
  </si>
  <si>
    <t>Eritrea</t>
  </si>
  <si>
    <t>ER</t>
  </si>
  <si>
    <t>Kashmiri</t>
  </si>
  <si>
    <t>ks</t>
  </si>
  <si>
    <t>United Kingdom</t>
  </si>
  <si>
    <t>Eswatini</t>
  </si>
  <si>
    <t>SZ</t>
  </si>
  <si>
    <t>Kazakh</t>
  </si>
  <si>
    <t>kk</t>
  </si>
  <si>
    <t>Estonia</t>
  </si>
  <si>
    <t>EE</t>
  </si>
  <si>
    <t>Khmer</t>
  </si>
  <si>
    <t>km</t>
  </si>
  <si>
    <t>Ethiopia</t>
  </si>
  <si>
    <t>ET</t>
  </si>
  <si>
    <t>Kikuyu; Gikuyu</t>
  </si>
  <si>
    <t>ki</t>
  </si>
  <si>
    <t>Falkland Islands (Malvinas)</t>
  </si>
  <si>
    <t>FK</t>
  </si>
  <si>
    <t>Contact Us</t>
  </si>
  <si>
    <t>https://www.example.com/contact-us</t>
  </si>
  <si>
    <t>https://www.example.co.nz/contact-us</t>
  </si>
  <si>
    <t>Kinyarwanda</t>
  </si>
  <si>
    <t>https://www.example.es/contacto</t>
  </si>
  <si>
    <t>rw</t>
  </si>
  <si>
    <t>Faroe Islands</t>
  </si>
  <si>
    <t>FO</t>
  </si>
  <si>
    <t>Kirghiz</t>
  </si>
  <si>
    <t>ky</t>
  </si>
  <si>
    <t>Fiji</t>
  </si>
  <si>
    <t>FJ</t>
  </si>
  <si>
    <t>Komi</t>
  </si>
  <si>
    <t>kv</t>
  </si>
  <si>
    <t>Finland</t>
  </si>
  <si>
    <t>FI</t>
  </si>
  <si>
    <t>Korean</t>
  </si>
  <si>
    <t>ko</t>
  </si>
  <si>
    <t>France</t>
  </si>
  <si>
    <t>FR</t>
  </si>
  <si>
    <t>Kuanyama; Kwanyama</t>
  </si>
  <si>
    <t>kj</t>
  </si>
  <si>
    <t>French Guiana</t>
  </si>
  <si>
    <t>GF</t>
  </si>
  <si>
    <t>Kurdish</t>
  </si>
  <si>
    <t>ku</t>
  </si>
  <si>
    <t>Kosovo</t>
  </si>
  <si>
    <t>XK</t>
  </si>
  <si>
    <t>Lao</t>
  </si>
  <si>
    <t>lo</t>
  </si>
  <si>
    <t>French Polynesia</t>
  </si>
  <si>
    <t>PF</t>
  </si>
  <si>
    <t>Latin</t>
  </si>
  <si>
    <t>la</t>
  </si>
  <si>
    <t>French Southern Territories</t>
  </si>
  <si>
    <t>TF</t>
  </si>
  <si>
    <t>Latvian</t>
  </si>
  <si>
    <t>lv</t>
  </si>
  <si>
    <t>Gabon</t>
  </si>
  <si>
    <t>GA</t>
  </si>
  <si>
    <t>Blog</t>
  </si>
  <si>
    <t>Limburgan; Limburger; Limburgish</t>
  </si>
  <si>
    <t>https://www.example.com/blog</t>
  </si>
  <si>
    <t>https://www.example.es/blog</t>
  </si>
  <si>
    <t>li</t>
  </si>
  <si>
    <t>Gambia</t>
  </si>
  <si>
    <t>GM</t>
  </si>
  <si>
    <t>Lingala</t>
  </si>
  <si>
    <t>ln</t>
  </si>
  <si>
    <t>Georgia</t>
  </si>
  <si>
    <t>GE</t>
  </si>
  <si>
    <t>Lithuanian</t>
  </si>
  <si>
    <t>lt</t>
  </si>
  <si>
    <t>Germany</t>
  </si>
  <si>
    <t>DE</t>
  </si>
  <si>
    <t>Site Map</t>
  </si>
  <si>
    <t>Luxembourgish; Letzeburgesch</t>
  </si>
  <si>
    <t>https://www.example.com/site-map</t>
  </si>
  <si>
    <t>lb</t>
  </si>
  <si>
    <t>Ghana</t>
  </si>
  <si>
    <t>https://www.example.co.nz/site-map</t>
  </si>
  <si>
    <t>GH</t>
  </si>
  <si>
    <t>https://www.example.es/mapa-del-sitio</t>
  </si>
  <si>
    <t>Macedonian</t>
  </si>
  <si>
    <t>mk</t>
  </si>
  <si>
    <t>Gibraltar</t>
  </si>
  <si>
    <t>GI</t>
  </si>
  <si>
    <t>Malagasy</t>
  </si>
  <si>
    <t>mg</t>
  </si>
  <si>
    <t>Greece</t>
  </si>
  <si>
    <t>GR</t>
  </si>
  <si>
    <t>Malay</t>
  </si>
  <si>
    <t>ms</t>
  </si>
  <si>
    <t>Greenland</t>
  </si>
  <si>
    <t>GL</t>
  </si>
  <si>
    <t>Malayalam</t>
  </si>
  <si>
    <t>ml</t>
  </si>
  <si>
    <t>Grenada</t>
  </si>
  <si>
    <t>GD</t>
  </si>
  <si>
    <t>Maltese</t>
  </si>
  <si>
    <t>mt</t>
  </si>
  <si>
    <t>Guadeloupe</t>
  </si>
  <si>
    <t>GP</t>
  </si>
  <si>
    <t>Manx</t>
  </si>
  <si>
    <t>gv</t>
  </si>
  <si>
    <t>Guam</t>
  </si>
  <si>
    <t>GU</t>
  </si>
  <si>
    <t>Maori</t>
  </si>
  <si>
    <t>mi</t>
  </si>
  <si>
    <t>Guatemala</t>
  </si>
  <si>
    <t>GT</t>
  </si>
  <si>
    <t>Marathi</t>
  </si>
  <si>
    <t>mr</t>
  </si>
  <si>
    <t>Guernsey</t>
  </si>
  <si>
    <t>GG</t>
  </si>
  <si>
    <t>Marshallese</t>
  </si>
  <si>
    <t>mh</t>
  </si>
  <si>
    <t>Guinea</t>
  </si>
  <si>
    <t>GN</t>
  </si>
  <si>
    <t>Moldavian</t>
  </si>
  <si>
    <t>mo</t>
  </si>
  <si>
    <t>Guinea-Bissau</t>
  </si>
  <si>
    <t>GW</t>
  </si>
  <si>
    <t>Mongolian</t>
  </si>
  <si>
    <t>mn</t>
  </si>
  <si>
    <t>Guyana</t>
  </si>
  <si>
    <t>GY</t>
  </si>
  <si>
    <t>Nauru</t>
  </si>
  <si>
    <t>na</t>
  </si>
  <si>
    <t>Haiti</t>
  </si>
  <si>
    <t>HT</t>
  </si>
  <si>
    <t>Navaho, Navajo</t>
  </si>
  <si>
    <t>nv</t>
  </si>
  <si>
    <t>Heard and Mcdonald Islands</t>
  </si>
  <si>
    <t>HM</t>
  </si>
  <si>
    <t>Ndebele, North</t>
  </si>
  <si>
    <t>nd</t>
  </si>
  <si>
    <t>Holy See (Vatican City State)</t>
  </si>
  <si>
    <t>VA</t>
  </si>
  <si>
    <t>Ndebele, South</t>
  </si>
  <si>
    <t>nr</t>
  </si>
  <si>
    <t>Honduras</t>
  </si>
  <si>
    <t>HN</t>
  </si>
  <si>
    <t>United States of America</t>
  </si>
  <si>
    <t>Ndonga</t>
  </si>
  <si>
    <t>ng</t>
  </si>
  <si>
    <t>Hungary</t>
  </si>
  <si>
    <t>HU</t>
  </si>
  <si>
    <t>Nepali</t>
  </si>
  <si>
    <t>ne</t>
  </si>
  <si>
    <t>Iceland</t>
  </si>
  <si>
    <t>IS</t>
  </si>
  <si>
    <t>Northern Sami</t>
  </si>
  <si>
    <t>se</t>
  </si>
  <si>
    <t>India</t>
  </si>
  <si>
    <t>IN</t>
  </si>
  <si>
    <t>Norwegian</t>
  </si>
  <si>
    <t>no</t>
  </si>
  <si>
    <t>Indonesia</t>
  </si>
  <si>
    <t>ID</t>
  </si>
  <si>
    <t>Norwegian Bokmal</t>
  </si>
  <si>
    <t>nb</t>
  </si>
  <si>
    <t>Iran, Islamic Republic of</t>
  </si>
  <si>
    <t>IR</t>
  </si>
  <si>
    <t>Norwegian Nynorsk</t>
  </si>
  <si>
    <t>nn</t>
  </si>
  <si>
    <t>Iraq</t>
  </si>
  <si>
    <t>IQ</t>
  </si>
  <si>
    <t>Nyanja; Chichewa; Chewa</t>
  </si>
  <si>
    <t>ny</t>
  </si>
  <si>
    <t>Ireland</t>
  </si>
  <si>
    <t>IE</t>
  </si>
  <si>
    <t>Occitan (post 1500); Provencal</t>
  </si>
  <si>
    <t>oc</t>
  </si>
  <si>
    <t>Isle of Man</t>
  </si>
  <si>
    <t>IM</t>
  </si>
  <si>
    <t>Oriya</t>
  </si>
  <si>
    <t>or</t>
  </si>
  <si>
    <t>Israel</t>
  </si>
  <si>
    <t>IL</t>
  </si>
  <si>
    <t>Oromo</t>
  </si>
  <si>
    <t>om</t>
  </si>
  <si>
    <t>Italy</t>
  </si>
  <si>
    <t>IT</t>
  </si>
  <si>
    <t>Ossetian; Ossetic</t>
  </si>
  <si>
    <t>os</t>
  </si>
  <si>
    <t>Ivory Coast</t>
  </si>
  <si>
    <t>CI</t>
  </si>
  <si>
    <t>Pali</t>
  </si>
  <si>
    <t>pi</t>
  </si>
  <si>
    <t>Jamaica</t>
  </si>
  <si>
    <t>JM</t>
  </si>
  <si>
    <t>Panjabi</t>
  </si>
  <si>
    <t>pa</t>
  </si>
  <si>
    <t>Japan</t>
  </si>
  <si>
    <t>JP</t>
  </si>
  <si>
    <t>Persian</t>
  </si>
  <si>
    <t>fa</t>
  </si>
  <si>
    <t>Jersey</t>
  </si>
  <si>
    <t>JE</t>
  </si>
  <si>
    <t>Polish</t>
  </si>
  <si>
    <t>pl</t>
  </si>
  <si>
    <t>Jordan</t>
  </si>
  <si>
    <t>JO</t>
  </si>
  <si>
    <t>Portuguese</t>
  </si>
  <si>
    <t>pt</t>
  </si>
  <si>
    <t>Kazakhstan</t>
  </si>
  <si>
    <t>KZ</t>
  </si>
  <si>
    <t>Pushto</t>
  </si>
  <si>
    <t>ps</t>
  </si>
  <si>
    <t>Kenya</t>
  </si>
  <si>
    <t>KE</t>
  </si>
  <si>
    <t>Quechua</t>
  </si>
  <si>
    <t>qu</t>
  </si>
  <si>
    <t>Kiribati</t>
  </si>
  <si>
    <t>KI</t>
  </si>
  <si>
    <t>Raeto-Romance</t>
  </si>
  <si>
    <t>rm</t>
  </si>
  <si>
    <t>Korea (North)</t>
  </si>
  <si>
    <t>KP</t>
  </si>
  <si>
    <t>Romanian</t>
  </si>
  <si>
    <t>ro</t>
  </si>
  <si>
    <t>Korea (South)</t>
  </si>
  <si>
    <t>KR</t>
  </si>
  <si>
    <t>Rundi</t>
  </si>
  <si>
    <t>rn</t>
  </si>
  <si>
    <t>Kuwait</t>
  </si>
  <si>
    <t>KW</t>
  </si>
  <si>
    <t>Russian</t>
  </si>
  <si>
    <t>ru</t>
  </si>
  <si>
    <t>Kyrgyzstan</t>
  </si>
  <si>
    <t>KG</t>
  </si>
  <si>
    <t>Samoan</t>
  </si>
  <si>
    <t>sm</t>
  </si>
  <si>
    <t>Lao PDR</t>
  </si>
  <si>
    <t>LA</t>
  </si>
  <si>
    <t>Sango</t>
  </si>
  <si>
    <t>sg</t>
  </si>
  <si>
    <t>Latvia</t>
  </si>
  <si>
    <t>LV</t>
  </si>
  <si>
    <t>Sanskrit</t>
  </si>
  <si>
    <t>sa</t>
  </si>
  <si>
    <t>Lebanon</t>
  </si>
  <si>
    <t>LB</t>
  </si>
  <si>
    <t>Sardinian</t>
  </si>
  <si>
    <t>sc</t>
  </si>
  <si>
    <t>Lesotho</t>
  </si>
  <si>
    <t>LS</t>
  </si>
  <si>
    <t>Serbian</t>
  </si>
  <si>
    <t>sr</t>
  </si>
  <si>
    <t>Liberia</t>
  </si>
  <si>
    <t>LR</t>
  </si>
  <si>
    <t>Shona</t>
  </si>
  <si>
    <t>sn</t>
  </si>
  <si>
    <t>Libya</t>
  </si>
  <si>
    <t>LY</t>
  </si>
  <si>
    <t>Sichuan Yi</t>
  </si>
  <si>
    <t>ii</t>
  </si>
  <si>
    <t>Liechtenstein</t>
  </si>
  <si>
    <t>LI</t>
  </si>
  <si>
    <t>Sindhi</t>
  </si>
  <si>
    <t>sd</t>
  </si>
  <si>
    <t>Lithuania</t>
  </si>
  <si>
    <t>LT</t>
  </si>
  <si>
    <t>Sinhala; Sinhalese</t>
  </si>
  <si>
    <t>si</t>
  </si>
  <si>
    <t>Luxembourg</t>
  </si>
  <si>
    <t>LU</t>
  </si>
  <si>
    <t>Slovak</t>
  </si>
  <si>
    <t>sk</t>
  </si>
  <si>
    <t>Macedonia, Republic of</t>
  </si>
  <si>
    <t>MK</t>
  </si>
  <si>
    <t>Slovenian</t>
  </si>
  <si>
    <t>sl</t>
  </si>
  <si>
    <t>Madagascar</t>
  </si>
  <si>
    <t>MG</t>
  </si>
  <si>
    <t>Somali</t>
  </si>
  <si>
    <t>so</t>
  </si>
  <si>
    <t>Malawi</t>
  </si>
  <si>
    <t>MW</t>
  </si>
  <si>
    <t>Sotho, Southern</t>
  </si>
  <si>
    <t>st</t>
  </si>
  <si>
    <t>Malaysia</t>
  </si>
  <si>
    <t>MY</t>
  </si>
  <si>
    <t>Maldives</t>
  </si>
  <si>
    <t>MV</t>
  </si>
  <si>
    <t>Sundanese</t>
  </si>
  <si>
    <t>su</t>
  </si>
  <si>
    <t>Mali</t>
  </si>
  <si>
    <t>ML</t>
  </si>
  <si>
    <t>Swahili</t>
  </si>
  <si>
    <t>sw</t>
  </si>
  <si>
    <t>Malta</t>
  </si>
  <si>
    <t>MT</t>
  </si>
  <si>
    <t>Swati</t>
  </si>
  <si>
    <t>ss</t>
  </si>
  <si>
    <t>Marshall Islands</t>
  </si>
  <si>
    <t>MH</t>
  </si>
  <si>
    <t>Swedish</t>
  </si>
  <si>
    <t>sv</t>
  </si>
  <si>
    <t>Martinique</t>
  </si>
  <si>
    <t>MQ</t>
  </si>
  <si>
    <t>Tagalog</t>
  </si>
  <si>
    <t>tl</t>
  </si>
  <si>
    <t>Mauritania</t>
  </si>
  <si>
    <t>MR</t>
  </si>
  <si>
    <t>Tahitian</t>
  </si>
  <si>
    <t>ty</t>
  </si>
  <si>
    <t>Mauritius</t>
  </si>
  <si>
    <t>MU</t>
  </si>
  <si>
    <t>Tajik</t>
  </si>
  <si>
    <t>tg</t>
  </si>
  <si>
    <t>Mayotte</t>
  </si>
  <si>
    <t>YT</t>
  </si>
  <si>
    <t>Tamil</t>
  </si>
  <si>
    <t>ta</t>
  </si>
  <si>
    <t>Mexico</t>
  </si>
  <si>
    <t>MX</t>
  </si>
  <si>
    <t>Tatar</t>
  </si>
  <si>
    <t>tt</t>
  </si>
  <si>
    <t>Micronesia, Federated States of</t>
  </si>
  <si>
    <t>FM</t>
  </si>
  <si>
    <t>Telugu</t>
  </si>
  <si>
    <t>te</t>
  </si>
  <si>
    <t>Moldova</t>
  </si>
  <si>
    <t>MD</t>
  </si>
  <si>
    <t>Thai</t>
  </si>
  <si>
    <t>th</t>
  </si>
  <si>
    <t>Monaco</t>
  </si>
  <si>
    <t>MC</t>
  </si>
  <si>
    <t>Tibetan</t>
  </si>
  <si>
    <t>bo</t>
  </si>
  <si>
    <t>Mongolia</t>
  </si>
  <si>
    <t>MN</t>
  </si>
  <si>
    <t>Tigrinya</t>
  </si>
  <si>
    <t>ti</t>
  </si>
  <si>
    <t>Montenegro</t>
  </si>
  <si>
    <t>ME</t>
  </si>
  <si>
    <t>Tonga (Tonga Islands)</t>
  </si>
  <si>
    <t>to</t>
  </si>
  <si>
    <t>Montserrat</t>
  </si>
  <si>
    <t>MS</t>
  </si>
  <si>
    <t>Tsonga</t>
  </si>
  <si>
    <t>ts</t>
  </si>
  <si>
    <t>Morocco</t>
  </si>
  <si>
    <t>MA</t>
  </si>
  <si>
    <t>Tswana</t>
  </si>
  <si>
    <t>tn</t>
  </si>
  <si>
    <t>Mozambique</t>
  </si>
  <si>
    <t>MZ</t>
  </si>
  <si>
    <t>Turkish</t>
  </si>
  <si>
    <t>tr</t>
  </si>
  <si>
    <t>Myanmar</t>
  </si>
  <si>
    <t>MM</t>
  </si>
  <si>
    <t>Turkmen</t>
  </si>
  <si>
    <t>tk</t>
  </si>
  <si>
    <t>Namibia</t>
  </si>
  <si>
    <t>NA</t>
  </si>
  <si>
    <t>Twi</t>
  </si>
  <si>
    <t>tw</t>
  </si>
  <si>
    <t>NR</t>
  </si>
  <si>
    <t>Uighur</t>
  </si>
  <si>
    <t>ug</t>
  </si>
  <si>
    <t>Nepal</t>
  </si>
  <si>
    <t>NP</t>
  </si>
  <si>
    <t>Ukrainian</t>
  </si>
  <si>
    <t>uk</t>
  </si>
  <si>
    <t>Netherlands</t>
  </si>
  <si>
    <t>NL</t>
  </si>
  <si>
    <t>Urdu</t>
  </si>
  <si>
    <t>ur</t>
  </si>
  <si>
    <t>Netherlands Antilles</t>
  </si>
  <si>
    <t>AN</t>
  </si>
  <si>
    <t>Uzbek</t>
  </si>
  <si>
    <t>uz</t>
  </si>
  <si>
    <t>New Caledonia</t>
  </si>
  <si>
    <t>NC</t>
  </si>
  <si>
    <t>Vietnamese</t>
  </si>
  <si>
    <t>vi</t>
  </si>
  <si>
    <t>NZ</t>
  </si>
  <si>
    <t>Volapuk</t>
  </si>
  <si>
    <t>vo</t>
  </si>
  <si>
    <t>Nicaragua</t>
  </si>
  <si>
    <t>NI</t>
  </si>
  <si>
    <t>Walloon</t>
  </si>
  <si>
    <t>wa</t>
  </si>
  <si>
    <t>Niger</t>
  </si>
  <si>
    <t>NE</t>
  </si>
  <si>
    <t>Welsh</t>
  </si>
  <si>
    <t>cy</t>
  </si>
  <si>
    <t>Nigeria</t>
  </si>
  <si>
    <t>NG</t>
  </si>
  <si>
    <t>Western Frisian</t>
  </si>
  <si>
    <t>fy</t>
  </si>
  <si>
    <t>Niue</t>
  </si>
  <si>
    <t>NU</t>
  </si>
  <si>
    <t>Wolof</t>
  </si>
  <si>
    <t>wo</t>
  </si>
  <si>
    <t>Norfolk Island</t>
  </si>
  <si>
    <t>NF</t>
  </si>
  <si>
    <t>Xhosa</t>
  </si>
  <si>
    <t>xh</t>
  </si>
  <si>
    <t>Northern Mariana Islands</t>
  </si>
  <si>
    <t>MP</t>
  </si>
  <si>
    <t>Yiddish</t>
  </si>
  <si>
    <t>yi</t>
  </si>
  <si>
    <t>Norway</t>
  </si>
  <si>
    <t>NO</t>
  </si>
  <si>
    <t>Yoruba</t>
  </si>
  <si>
    <t>yo</t>
  </si>
  <si>
    <t>Oman</t>
  </si>
  <si>
    <t>OM</t>
  </si>
  <si>
    <t>Zhuang; Chuang</t>
  </si>
  <si>
    <t>za</t>
  </si>
  <si>
    <t>Pakistan</t>
  </si>
  <si>
    <t>PK</t>
  </si>
  <si>
    <t>Zulu</t>
  </si>
  <si>
    <t>zu</t>
  </si>
  <si>
    <t>Palau</t>
  </si>
  <si>
    <t>PW</t>
  </si>
  <si>
    <t>Palestinian Territory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</si>
  <si>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</si>
  <si>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</si>
  <si>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</si>
  <si>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</si>
  <si>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</si>
  <si>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</si>
  <si>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</si>
  <si>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</si>
  <si>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</si>
  <si>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</si>
  <si>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</si>
  <si>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</si>
  <si>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</si>
  <si>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</si>
  <si>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</si>
  <si>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</si>
  <si>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</si>
  <si>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</si>
  <si>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</si>
  <si>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</si>
  <si>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</si>
  <si>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Réunion</t>
  </si>
  <si>
    <t>RE</t>
  </si>
  <si>
    <t>Romania</t>
  </si>
  <si>
    <t>RO</t>
  </si>
  <si>
    <t>Russian Federation</t>
  </si>
  <si>
    <t>RU</t>
  </si>
  <si>
    <t>Rwanda</t>
  </si>
  <si>
    <t>RW</t>
  </si>
  <si>
    <t>Saint-Barthélemy</t>
  </si>
  <si>
    <t>BL</t>
  </si>
  <si>
    <t>Saint Helena</t>
  </si>
  <si>
    <t>SH</t>
  </si>
  <si>
    <t>Saint Kitts and Nevis</t>
  </si>
  <si>
    <t>KN</t>
  </si>
  <si>
    <t>Saint Lucia</t>
  </si>
  <si>
    <t>LC</t>
  </si>
  <si>
    <t>Saint-Martin (French part)</t>
  </si>
  <si>
    <t>MF</t>
  </si>
  <si>
    <t>Saint Pierre and Miquelon</t>
  </si>
  <si>
    <t>PM</t>
  </si>
  <si>
    <t>Saint Vincent and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</si>
  <si>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</si>
  <si>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</si>
  <si>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</si>
  <si>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</si>
  <si>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</si>
  <si>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</si>
  <si>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</si>
  <si>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</si>
  <si>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</si>
  <si>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</si>
  <si>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</si>
  <si>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</si>
  <si>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</si>
  <si>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</si>
  <si>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</si>
  <si>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</si>
  <si>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</si>
  <si>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</si>
  <si>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</si>
  <si>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</t>
  </si>
  <si>
    <t>SX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</si>
  <si>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</si>
  <si>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</si>
  <si>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</si>
  <si>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</si>
  <si>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</si>
  <si>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</si>
  <si>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</si>
  <si>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</si>
  <si>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</si>
  <si>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</si>
  <si>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</si>
  <si>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</si>
  <si>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Sudan</t>
  </si>
  <si>
    <t>SS</t>
  </si>
  <si>
    <t>Spain</t>
  </si>
  <si>
    <t>ES</t>
  </si>
  <si>
    <t>Sri Lanka</t>
  </si>
  <si>
    <t>LK</t>
  </si>
  <si>
    <t>Sudan</t>
  </si>
  <si>
    <t>SD</t>
  </si>
  <si>
    <t>Suriname</t>
  </si>
  <si>
    <t>SR</t>
  </si>
  <si>
    <t>Svalbard and Jan Mayen Islands</t>
  </si>
  <si>
    <t>SJ</t>
  </si>
  <si>
    <t>Swaziland</t>
  </si>
  <si>
    <t>Sweden</t>
  </si>
  <si>
    <t>SE</t>
  </si>
  <si>
    <t>Switzerland</t>
  </si>
  <si>
    <t>CH</t>
  </si>
  <si>
    <t>Syrian Arab Republic (Syria)</t>
  </si>
  <si>
    <t>SY</t>
  </si>
  <si>
    <t>Taiwan, Republic of China</t>
  </si>
  <si>
    <t>TW</t>
  </si>
  <si>
    <t>Tajikistan</t>
  </si>
  <si>
    <t>TJ</t>
  </si>
  <si>
    <t>Tanzania, United Republic of</t>
  </si>
  <si>
    <t>TZ</t>
  </si>
  <si>
    <t>Thailand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</si>
  <si>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</si>
  <si>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</si>
  <si>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</si>
  <si>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</si>
  <si>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</si>
  <si>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</si>
  <si>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</si>
  <si>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</si>
  <si>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</si>
  <si>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</si>
  <si>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</si>
  <si>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</si>
  <si>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</si>
  <si>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</si>
  <si>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</si>
  <si>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</si>
  <si>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</si>
  <si>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</si>
  <si>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</si>
  <si>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</si>
  <si>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</si>
  <si>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</si>
  <si>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</si>
  <si>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</si>
  <si>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</si>
  <si>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</si>
  <si>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</si>
  <si>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GB</t>
  </si>
  <si>
    <t>US</t>
  </si>
  <si>
    <t>US Minor Outlying Islands</t>
  </si>
  <si>
    <t>UM</t>
  </si>
  <si>
    <t>Uruguay</t>
  </si>
  <si>
    <t>UY</t>
  </si>
  <si>
    <t>Uzbekistan</t>
  </si>
  <si>
    <t>UZ</t>
  </si>
  <si>
    <t>Vanuatu</t>
  </si>
  <si>
    <t>VU</t>
  </si>
  <si>
    <t>Venezuela (Bolivarian Republic)</t>
  </si>
  <si>
    <t>VE</t>
  </si>
  <si>
    <t>Viet Nam</t>
  </si>
  <si>
    <t>VN</t>
  </si>
  <si>
    <t>Virgin Islands, US</t>
  </si>
  <si>
    <t>VI</t>
  </si>
  <si>
    <t>Wallis and Futuna Islands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</si>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</sst>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0" fillId="0" fontId="3" numFmtId="0" xfId="0" applyFont="1"/>
    <xf borderId="0" fillId="0" fontId="0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1" fillId="2" fontId="5" numFmtId="0" xfId="0" applyBorder="1" applyFill="1" applyFont="1"/>
    <xf borderId="0" fillId="0" fontId="6" numFmtId="0" xfId="0" applyAlignment="1" applyFont="1">
      <alignment shrinkToFit="0" vertical="top" wrapText="1"/>
    </xf>
    <xf borderId="1" fillId="2" fontId="7" numFmtId="0" xfId="0" applyBorder="1" applyFill="1" applyFont="1"/>
    <xf borderId="1" fillId="3" fontId="7" numFmtId="0" xfId="0" applyBorder="1" applyFill="1" applyFont="1"/>
    <xf borderId="0" fillId="0" fontId="3" numFmtId="0" xfId="0" applyFont="1"/>
    <xf borderId="1" fillId="3" fontId="8" numFmtId="0" xfId="0" applyBorder="1" applyFill="1" applyFont="1"/>
    <xf borderId="0" fillId="0" fontId="3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example.com/site-map" TargetMode="External"/><Relationship Id="rId10" Type="http://schemas.openxmlformats.org/officeDocument/2006/relationships/hyperlink" Target="https://www.example.com/site-map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example.com/site-map" TargetMode="External"/><Relationship Id="rId1" Type="http://schemas.openxmlformats.org/officeDocument/2006/relationships/hyperlink" Target="https://www.example.com/about-us" TargetMode="External"/><Relationship Id="rId2" Type="http://schemas.openxmlformats.org/officeDocument/2006/relationships/hyperlink" Target="https://www.example.com/about-us" TargetMode="External"/><Relationship Id="rId3" Type="http://schemas.openxmlformats.org/officeDocument/2006/relationships/hyperlink" Target="https://www.example.com/about-us" TargetMode="External"/><Relationship Id="rId4" Type="http://schemas.openxmlformats.org/officeDocument/2006/relationships/hyperlink" Target="https://www.example.com/contact-us" TargetMode="External"/><Relationship Id="rId9" Type="http://schemas.openxmlformats.org/officeDocument/2006/relationships/hyperlink" Target="https://www.example.com/blog" TargetMode="External"/><Relationship Id="rId5" Type="http://schemas.openxmlformats.org/officeDocument/2006/relationships/hyperlink" Target="https://www.example.com/contact-us" TargetMode="External"/><Relationship Id="rId6" Type="http://schemas.openxmlformats.org/officeDocument/2006/relationships/hyperlink" Target="https://www.example.com/contact-us" TargetMode="External"/><Relationship Id="rId7" Type="http://schemas.openxmlformats.org/officeDocument/2006/relationships/hyperlink" Target="https://www.example.com/blog" TargetMode="External"/><Relationship Id="rId8" Type="http://schemas.openxmlformats.org/officeDocument/2006/relationships/hyperlink" Target="https://www.example.com/blo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18.0" customHeight="1">
      <c r="A1" s="2" t="s">
        <v>1</v>
      </c>
    </row>
    <row r="2" ht="18.0" customHeight="1">
      <c r="A2" s="3"/>
    </row>
    <row r="3">
      <c r="A3" s="5" t="s">
        <v>5</v>
      </c>
    </row>
    <row r="4" ht="18.0" customHeight="1">
      <c r="A4" s="3"/>
    </row>
    <row r="5" ht="18.0" customHeight="1">
      <c r="A5" s="6" t="s">
        <v>12</v>
      </c>
    </row>
    <row r="6">
      <c r="A6" s="3" t="s">
        <v>19</v>
      </c>
    </row>
    <row r="7">
      <c r="A7" s="3" t="s">
        <v>22</v>
      </c>
    </row>
    <row r="8">
      <c r="A8" s="3" t="s">
        <v>25</v>
      </c>
    </row>
    <row r="9">
      <c r="A9" s="3" t="s">
        <v>28</v>
      </c>
    </row>
    <row r="10" ht="18.0" customHeight="1">
      <c r="A10" s="3"/>
    </row>
    <row r="11">
      <c r="A11" s="8" t="s">
        <v>36</v>
      </c>
    </row>
    <row r="12" ht="18.0" customHeight="1">
      <c r="A12" s="3"/>
    </row>
    <row r="13">
      <c r="A13" s="6" t="s">
        <v>56</v>
      </c>
    </row>
    <row r="14">
      <c r="A14" s="3" t="s">
        <v>59</v>
      </c>
    </row>
    <row r="15">
      <c r="A15" s="3" t="s">
        <v>64</v>
      </c>
    </row>
    <row r="16">
      <c r="A16" s="3" t="s">
        <v>70</v>
      </c>
    </row>
    <row r="17">
      <c r="A17" s="3"/>
    </row>
    <row r="18">
      <c r="A18" s="6" t="s">
        <v>76</v>
      </c>
    </row>
    <row r="19">
      <c r="A19" s="3" t="s">
        <v>80</v>
      </c>
    </row>
    <row r="20">
      <c r="A20" s="3" t="s">
        <v>85</v>
      </c>
    </row>
    <row r="21">
      <c r="A21" s="3" t="s">
        <v>89</v>
      </c>
    </row>
    <row r="22">
      <c r="A22" s="3"/>
    </row>
    <row r="23">
      <c r="A23" s="3" t="s">
        <v>96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4" width="24.0"/>
    <col customWidth="1" min="5" max="5" width="20.0"/>
    <col customWidth="1" min="6" max="6" width="18.0"/>
    <col customWidth="1" min="7" max="7" width="20.0"/>
    <col customWidth="1" min="8" max="70" width="8.71"/>
  </cols>
  <sheetData>
    <row r="1">
      <c r="A1" s="10"/>
      <c r="B1" s="10" t="s">
        <v>67</v>
      </c>
      <c r="C1" s="10" t="s">
        <v>68</v>
      </c>
      <c r="D1" s="10" t="s">
        <v>71</v>
      </c>
      <c r="E1" s="10"/>
      <c r="F1" s="10"/>
      <c r="G1" s="10"/>
    </row>
    <row r="2">
      <c r="A2" s="12" t="s">
        <v>82</v>
      </c>
      <c r="B2" s="12" t="str">
        <f>IFERROR(__xludf.DUMMYFUNCTION("ARRAYFORMULA(TOROW(FILTER('Alternate Links Setup'!B2:B60,'Alternate Links Setup'!B2:B60&lt;&gt;"""")&amp;"" | ""&amp;FILTER('Alternate Links Setup'!C2:C60,'Alternate Links Setup'!C2:C60&lt;&gt;"""")))"),"English | Australia")</f>
        <v>English | Australia</v>
      </c>
      <c r="C2" s="12" t="str">
        <f>IFERROR(__xludf.DUMMYFUNCTION("""COMPUTED_VALUE"""),"English | New Zealand")</f>
        <v>English | New Zealand</v>
      </c>
      <c r="D2" s="12" t="str">
        <f>IFERROR(__xludf.DUMMYFUNCTION("""COMPUTED_VALUE"""),"Spanish; Castilian | No region specified")</f>
        <v>Spanish; Castilian | No region specified</v>
      </c>
      <c r="E2" s="12" t="str">
        <f>IFERROR(__xludf.DUMMYFUNCTION("""COMPUTED_VALUE"""),"English | United Kingdom")</f>
        <v>English | United Kingdom</v>
      </c>
      <c r="F2" s="12" t="str">
        <f>IFERROR(__xludf.DUMMYFUNCTION("""COMPUTED_VALUE"""),"English | Canada")</f>
        <v>English | Canada</v>
      </c>
      <c r="G2" s="12" t="str">
        <f>IFERROR(__xludf.DUMMYFUNCTION("""COMPUTED_VALUE"""),"English | United States of America")</f>
        <v>English | United States of America</v>
      </c>
    </row>
    <row r="3">
      <c r="A3" s="12"/>
      <c r="B3" s="12" t="str">
        <f t="array" ref="B3:BH3">TOROW('Alternate Links Setup'!D2:D60)</f>
        <v>en-AU</v>
      </c>
      <c r="C3" s="12" t="s">
        <v>194</v>
      </c>
      <c r="D3" s="12" t="s">
        <v>195</v>
      </c>
      <c r="E3" s="12" t="s">
        <v>196</v>
      </c>
      <c r="F3" s="12" t="s">
        <v>198</v>
      </c>
      <c r="G3" s="12" t="s">
        <v>200</v>
      </c>
      <c r="H3" s="4" t="s">
        <v>202</v>
      </c>
      <c r="I3" s="4" t="s">
        <v>202</v>
      </c>
      <c r="J3" s="4" t="s">
        <v>202</v>
      </c>
      <c r="K3" s="4" t="s">
        <v>202</v>
      </c>
      <c r="L3" s="4" t="s">
        <v>202</v>
      </c>
      <c r="M3" s="4" t="s">
        <v>202</v>
      </c>
      <c r="N3" s="4" t="s">
        <v>202</v>
      </c>
      <c r="O3" s="4" t="s">
        <v>202</v>
      </c>
      <c r="P3" s="4" t="s">
        <v>202</v>
      </c>
      <c r="Q3" s="4" t="s">
        <v>202</v>
      </c>
      <c r="R3" s="4" t="s">
        <v>202</v>
      </c>
      <c r="S3" s="4" t="s">
        <v>202</v>
      </c>
      <c r="T3" s="4" t="s">
        <v>202</v>
      </c>
      <c r="U3" s="4" t="s">
        <v>202</v>
      </c>
      <c r="V3" s="4" t="s">
        <v>202</v>
      </c>
      <c r="W3" s="4" t="s">
        <v>202</v>
      </c>
      <c r="X3" s="4" t="s">
        <v>202</v>
      </c>
      <c r="Y3" s="4" t="s">
        <v>202</v>
      </c>
      <c r="Z3" s="4" t="s">
        <v>202</v>
      </c>
      <c r="AA3" s="4" t="s">
        <v>202</v>
      </c>
      <c r="AB3" s="4" t="s">
        <v>202</v>
      </c>
      <c r="AC3" s="4" t="s">
        <v>202</v>
      </c>
      <c r="AD3" s="4" t="s">
        <v>202</v>
      </c>
      <c r="AE3" s="4" t="s">
        <v>202</v>
      </c>
      <c r="AF3" s="4" t="s">
        <v>202</v>
      </c>
      <c r="AG3" s="4" t="s">
        <v>202</v>
      </c>
      <c r="AH3" s="4" t="s">
        <v>202</v>
      </c>
      <c r="AI3" s="4" t="s">
        <v>202</v>
      </c>
      <c r="AJ3" s="4" t="s">
        <v>202</v>
      </c>
      <c r="AK3" s="4" t="s">
        <v>202</v>
      </c>
      <c r="AL3" s="4" t="s">
        <v>202</v>
      </c>
      <c r="AM3" s="4" t="s">
        <v>202</v>
      </c>
      <c r="AN3" s="4" t="s">
        <v>202</v>
      </c>
      <c r="AO3" s="4" t="s">
        <v>202</v>
      </c>
      <c r="AP3" s="4" t="s">
        <v>202</v>
      </c>
      <c r="AQ3" s="4" t="s">
        <v>202</v>
      </c>
      <c r="AR3" s="4" t="s">
        <v>202</v>
      </c>
      <c r="AS3" s="4" t="s">
        <v>202</v>
      </c>
      <c r="AT3" s="4" t="s">
        <v>202</v>
      </c>
      <c r="AU3" s="4" t="s">
        <v>202</v>
      </c>
      <c r="AV3" s="4" t="s">
        <v>202</v>
      </c>
      <c r="AW3" s="4" t="s">
        <v>202</v>
      </c>
      <c r="AX3" s="4" t="s">
        <v>202</v>
      </c>
      <c r="AY3" s="4" t="s">
        <v>202</v>
      </c>
      <c r="AZ3" s="4" t="s">
        <v>202</v>
      </c>
      <c r="BA3" s="4" t="s">
        <v>202</v>
      </c>
      <c r="BB3" s="4" t="s">
        <v>202</v>
      </c>
      <c r="BC3" s="4" t="s">
        <v>202</v>
      </c>
      <c r="BD3" s="4" t="s">
        <v>202</v>
      </c>
      <c r="BE3" s="4" t="s">
        <v>202</v>
      </c>
      <c r="BF3" s="4" t="s">
        <v>202</v>
      </c>
      <c r="BG3" s="4" t="s">
        <v>202</v>
      </c>
      <c r="BH3" s="4" t="s">
        <v>202</v>
      </c>
    </row>
    <row r="4">
      <c r="A4" s="4" t="s">
        <v>239</v>
      </c>
      <c r="B4" s="4" t="s">
        <v>183</v>
      </c>
      <c r="C4" s="4" t="s">
        <v>233</v>
      </c>
      <c r="D4" s="4" t="s">
        <v>242</v>
      </c>
      <c r="E4" s="14" t="str">
        <f>IFERROR(__xludf.DUMMYFUNCTION("IFERROR(INDIRECT(ADDRESS(4,MATCH(VLOOKUP(E3,'Alternate Links Setup'!$D:$E,2,FALSE),$4:$4,0),1)&amp;"":""&amp;REGEXEXTRACT(ADDRESS(4,MATCH(VLOOKUP(E3,'Alternate Links Setup'!$D:$E,2,FALSE),$4:$4,0),1),""[A-Z]+"")),"""")"),"https://www.example.com/")</f>
        <v>https://www.example.com/</v>
      </c>
      <c r="F4" s="14" t="str">
        <f>IFERROR(__xludf.DUMMYFUNCTION("IFERROR(INDIRECT(ADDRESS(4,MATCH(VLOOKUP(F3,'Alternate Links Setup'!$D:$E,2,FALSE),$4:$4,0),1)&amp;"":""&amp;REGEXEXTRACT(ADDRESS(4,MATCH(VLOOKUP(F3,'Alternate Links Setup'!$D:$E,2,FALSE),$4:$4,0),1),""[A-Z]+"")),"""")"),"https://www.example.com/")</f>
        <v>https://www.example.com/</v>
      </c>
      <c r="G4" s="14" t="str">
        <f>IFERROR(__xludf.DUMMYFUNCTION("IFERROR(INDIRECT(ADDRESS(4,MATCH(VLOOKUP(G3,'Alternate Links Setup'!$D:$E,2,FALSE),$4:$4,0),1)&amp;"":""&amp;REGEXEXTRACT(ADDRESS(4,MATCH(VLOOKUP(G3,'Alternate Links Setup'!$D:$E,2,FALSE),$4:$4,0),1),""[A-Z]+"")),"""")"),"https://www.example.com/")</f>
        <v>https://www.example.com/</v>
      </c>
    </row>
    <row r="5">
      <c r="A5" s="4" t="s">
        <v>291</v>
      </c>
      <c r="B5" s="4" t="s">
        <v>293</v>
      </c>
      <c r="C5" s="4" t="s">
        <v>295</v>
      </c>
      <c r="D5" s="4" t="s">
        <v>296</v>
      </c>
      <c r="E5" s="14" t="str">
        <f>IFERROR(__xludf.DUMMYFUNCTION("""COMPUTED_VALUE"""),"https://www.example.com/about-us")</f>
        <v>https://www.example.com/about-us</v>
      </c>
      <c r="F5" s="14" t="str">
        <f>IFERROR(__xludf.DUMMYFUNCTION("""COMPUTED_VALUE"""),"https://www.example.com/about-us")</f>
        <v>https://www.example.com/about-us</v>
      </c>
      <c r="G5" s="14" t="str">
        <f>IFERROR(__xludf.DUMMYFUNCTION("""COMPUTED_VALUE"""),"https://www.example.com/about-us")</f>
        <v>https://www.example.com/about-us</v>
      </c>
    </row>
    <row r="6">
      <c r="A6" s="4" t="s">
        <v>342</v>
      </c>
      <c r="B6" s="4" t="s">
        <v>343</v>
      </c>
      <c r="C6" s="4" t="s">
        <v>344</v>
      </c>
      <c r="D6" s="4" t="s">
        <v>346</v>
      </c>
      <c r="E6" s="14" t="str">
        <f>IFERROR(__xludf.DUMMYFUNCTION("""COMPUTED_VALUE"""),"https://www.example.com/contact-us")</f>
        <v>https://www.example.com/contact-us</v>
      </c>
      <c r="F6" s="14" t="str">
        <f>IFERROR(__xludf.DUMMYFUNCTION("""COMPUTED_VALUE"""),"https://www.example.com/contact-us")</f>
        <v>https://www.example.com/contact-us</v>
      </c>
      <c r="G6" s="14" t="str">
        <f>IFERROR(__xludf.DUMMYFUNCTION("""COMPUTED_VALUE"""),"https://www.example.com/contact-us")</f>
        <v>https://www.example.com/contact-us</v>
      </c>
    </row>
    <row r="7">
      <c r="A7" s="4" t="s">
        <v>382</v>
      </c>
      <c r="B7" s="4" t="s">
        <v>384</v>
      </c>
      <c r="D7" s="4" t="s">
        <v>385</v>
      </c>
      <c r="E7" s="14" t="str">
        <f>IFERROR(__xludf.DUMMYFUNCTION("""COMPUTED_VALUE"""),"https://www.example.com/blog")</f>
        <v>https://www.example.com/blog</v>
      </c>
      <c r="F7" s="14" t="str">
        <f>IFERROR(__xludf.DUMMYFUNCTION("""COMPUTED_VALUE"""),"https://www.example.com/blog")</f>
        <v>https://www.example.com/blog</v>
      </c>
      <c r="G7" s="14" t="str">
        <f>IFERROR(__xludf.DUMMYFUNCTION("""COMPUTED_VALUE"""),"https://www.example.com/blog")</f>
        <v>https://www.example.com/blog</v>
      </c>
    </row>
    <row r="8">
      <c r="A8" s="4" t="s">
        <v>397</v>
      </c>
      <c r="B8" s="4" t="s">
        <v>399</v>
      </c>
      <c r="C8" s="4" t="s">
        <v>402</v>
      </c>
      <c r="D8" s="4" t="s">
        <v>404</v>
      </c>
      <c r="E8" s="14" t="str">
        <f>IFERROR(__xludf.DUMMYFUNCTION("""COMPUTED_VALUE"""),"https://www.example.com/site-map")</f>
        <v>https://www.example.com/site-map</v>
      </c>
      <c r="F8" s="14" t="str">
        <f>IFERROR(__xludf.DUMMYFUNCTION("""COMPUTED_VALUE"""),"https://www.example.com/site-map")</f>
        <v>https://www.example.com/site-map</v>
      </c>
      <c r="G8" s="14" t="str">
        <f>IFERROR(__xludf.DUMMYFUNCTION("""COMPUTED_VALUE"""),"https://www.example.com/site-map")</f>
        <v>https://www.example.com/site-map</v>
      </c>
    </row>
    <row r="9">
      <c r="E9" s="4"/>
      <c r="F9" s="4"/>
      <c r="G9" s="4"/>
    </row>
    <row r="10">
      <c r="E10" s="4"/>
      <c r="F10" s="4"/>
      <c r="G10" s="4"/>
    </row>
    <row r="11">
      <c r="E11" s="4"/>
      <c r="F11" s="4"/>
      <c r="G11" s="4"/>
    </row>
    <row r="12">
      <c r="E12" s="4"/>
      <c r="F12" s="4"/>
      <c r="G12" s="4"/>
    </row>
    <row r="13">
      <c r="E13" s="4"/>
      <c r="F13" s="4"/>
      <c r="G13" s="4"/>
    </row>
    <row r="14">
      <c r="E14" s="4"/>
      <c r="F14" s="4"/>
      <c r="G14" s="4"/>
    </row>
    <row r="15">
      <c r="E15" s="4"/>
      <c r="F15" s="4"/>
      <c r="G15" s="4"/>
    </row>
    <row r="16">
      <c r="E16" s="4"/>
      <c r="F16" s="4"/>
      <c r="G16" s="4"/>
    </row>
    <row r="17">
      <c r="E17" s="4"/>
      <c r="F17" s="4"/>
      <c r="G17" s="4"/>
    </row>
    <row r="18">
      <c r="E18" s="4"/>
      <c r="F18" s="4"/>
      <c r="G18" s="4"/>
    </row>
    <row r="19">
      <c r="E19" s="4"/>
      <c r="F19" s="4"/>
      <c r="G19" s="4"/>
    </row>
    <row r="20">
      <c r="E20" s="4"/>
      <c r="F20" s="4"/>
      <c r="G20" s="4"/>
    </row>
    <row r="21" ht="15.75" customHeight="1">
      <c r="E21" s="4"/>
      <c r="F21" s="4"/>
      <c r="G21" s="4"/>
    </row>
    <row r="22" ht="15.75" customHeight="1">
      <c r="E22" s="4"/>
      <c r="F22" s="4"/>
      <c r="G22" s="4"/>
    </row>
    <row r="23" ht="15.75" customHeight="1">
      <c r="E23" s="4"/>
      <c r="F23" s="4"/>
      <c r="G23" s="4"/>
    </row>
    <row r="24" ht="15.75" customHeight="1">
      <c r="E24" s="4"/>
      <c r="F24" s="4"/>
      <c r="G24" s="4"/>
    </row>
    <row r="25" ht="15.75" customHeight="1">
      <c r="E25" s="4"/>
      <c r="F25" s="4"/>
      <c r="G25" s="4"/>
    </row>
    <row r="26" ht="15.75" customHeight="1">
      <c r="E26" s="4"/>
      <c r="F26" s="4"/>
      <c r="G26" s="4"/>
    </row>
    <row r="27" ht="15.75" customHeight="1">
      <c r="E27" s="4"/>
      <c r="F27" s="4"/>
      <c r="G27" s="4"/>
    </row>
    <row r="28" ht="15.75" customHeight="1">
      <c r="E28" s="4"/>
      <c r="F28" s="4"/>
      <c r="G28" s="4"/>
    </row>
    <row r="29" ht="15.75" customHeight="1">
      <c r="E29" s="4"/>
      <c r="F29" s="4"/>
      <c r="G29" s="4"/>
    </row>
    <row r="30" ht="15.75" customHeight="1">
      <c r="E30" s="4"/>
      <c r="F30" s="4"/>
      <c r="G30" s="4"/>
    </row>
    <row r="31" ht="15.75" customHeight="1">
      <c r="E31" s="4"/>
      <c r="F31" s="4"/>
      <c r="G31" s="4"/>
    </row>
    <row r="32" ht="15.75" customHeight="1">
      <c r="E32" s="4"/>
      <c r="F32" s="4"/>
      <c r="G32" s="4"/>
    </row>
    <row r="33" ht="15.75" customHeight="1">
      <c r="E33" s="4"/>
      <c r="F33" s="4"/>
      <c r="G33" s="4"/>
    </row>
    <row r="34" ht="15.75" customHeight="1">
      <c r="E34" s="4"/>
      <c r="F34" s="4"/>
      <c r="G34" s="4"/>
    </row>
    <row r="35" ht="15.75" customHeight="1">
      <c r="E35" s="4"/>
      <c r="F35" s="4"/>
      <c r="G35" s="4"/>
    </row>
    <row r="36" ht="15.75" customHeight="1">
      <c r="E36" s="4"/>
      <c r="F36" s="4"/>
      <c r="G36" s="4"/>
    </row>
    <row r="37" ht="15.75" customHeight="1">
      <c r="E37" s="4"/>
      <c r="F37" s="4"/>
      <c r="G37" s="4"/>
    </row>
    <row r="38" ht="15.75" customHeight="1">
      <c r="E38" s="4"/>
      <c r="F38" s="4"/>
      <c r="G38" s="4"/>
    </row>
    <row r="39" ht="15.75" customHeight="1">
      <c r="E39" s="4"/>
      <c r="F39" s="4"/>
      <c r="G39" s="4"/>
    </row>
    <row r="40" ht="15.75" customHeight="1">
      <c r="E40" s="4"/>
      <c r="F40" s="4"/>
      <c r="G40" s="4"/>
    </row>
    <row r="41" ht="15.75" customHeight="1">
      <c r="E41" s="4"/>
      <c r="F41" s="4"/>
      <c r="G41" s="4"/>
    </row>
    <row r="42" ht="15.75" customHeight="1">
      <c r="E42" s="4"/>
      <c r="F42" s="4"/>
      <c r="G42" s="4"/>
    </row>
    <row r="43" ht="15.75" customHeight="1">
      <c r="E43" s="4"/>
      <c r="F43" s="4"/>
      <c r="G43" s="4"/>
    </row>
    <row r="44" ht="15.75" customHeight="1">
      <c r="E44" s="4"/>
      <c r="F44" s="4"/>
      <c r="G44" s="4"/>
    </row>
    <row r="45" ht="15.75" customHeight="1">
      <c r="E45" s="4"/>
      <c r="F45" s="4"/>
      <c r="G45" s="4"/>
    </row>
    <row r="46" ht="15.75" customHeight="1">
      <c r="E46" s="4"/>
      <c r="F46" s="4"/>
      <c r="G46" s="4"/>
    </row>
    <row r="47" ht="15.75" customHeight="1">
      <c r="E47" s="4"/>
      <c r="F47" s="4"/>
      <c r="G47" s="4"/>
    </row>
    <row r="48" ht="15.75" customHeight="1">
      <c r="E48" s="4"/>
      <c r="F48" s="4"/>
      <c r="G48" s="4"/>
    </row>
    <row r="49" ht="15.75" customHeight="1">
      <c r="E49" s="4"/>
      <c r="F49" s="4"/>
      <c r="G49" s="4"/>
    </row>
    <row r="50" ht="15.75" customHeight="1">
      <c r="E50" s="4"/>
      <c r="F50" s="4"/>
      <c r="G50" s="4"/>
    </row>
    <row r="51" ht="15.75" customHeight="1">
      <c r="E51" s="4"/>
      <c r="F51" s="4"/>
      <c r="G51" s="4"/>
    </row>
    <row r="52" ht="15.75" customHeight="1">
      <c r="E52" s="4"/>
      <c r="F52" s="4"/>
      <c r="G52" s="4"/>
    </row>
    <row r="53" ht="15.75" customHeight="1">
      <c r="E53" s="4"/>
      <c r="F53" s="4"/>
      <c r="G53" s="4"/>
    </row>
    <row r="54" ht="15.75" customHeight="1">
      <c r="E54" s="4"/>
      <c r="F54" s="4"/>
      <c r="G54" s="4"/>
    </row>
    <row r="55" ht="15.75" customHeight="1">
      <c r="E55" s="4"/>
      <c r="F55" s="4"/>
      <c r="G55" s="4"/>
    </row>
    <row r="56" ht="15.75" customHeight="1">
      <c r="E56" s="4"/>
      <c r="F56" s="4"/>
      <c r="G56" s="4"/>
    </row>
    <row r="57" ht="15.75" customHeight="1">
      <c r="E57" s="4"/>
      <c r="F57" s="4"/>
      <c r="G57" s="4"/>
    </row>
    <row r="58" ht="15.75" customHeight="1">
      <c r="E58" s="4"/>
      <c r="F58" s="4"/>
      <c r="G58" s="4"/>
    </row>
    <row r="59" ht="15.75" customHeight="1">
      <c r="E59" s="4"/>
      <c r="F59" s="4"/>
      <c r="G59" s="4"/>
    </row>
    <row r="60" ht="15.75" customHeight="1">
      <c r="E60" s="4"/>
      <c r="F60" s="4"/>
      <c r="G60" s="4"/>
    </row>
    <row r="61" ht="15.75" customHeight="1">
      <c r="E61" s="4"/>
      <c r="F61" s="4"/>
      <c r="G61" s="4"/>
    </row>
    <row r="62" ht="15.75" customHeight="1">
      <c r="E62" s="4"/>
      <c r="F62" s="4"/>
      <c r="G62" s="4"/>
    </row>
    <row r="63" ht="15.75" customHeight="1">
      <c r="E63" s="4"/>
      <c r="F63" s="4"/>
      <c r="G63" s="4"/>
    </row>
    <row r="64" ht="15.75" customHeight="1">
      <c r="E64" s="4"/>
      <c r="F64" s="4"/>
      <c r="G64" s="4"/>
    </row>
    <row r="65" ht="15.75" customHeight="1">
      <c r="E65" s="4"/>
      <c r="F65" s="4"/>
      <c r="G65" s="4"/>
    </row>
    <row r="66" ht="15.75" customHeight="1">
      <c r="E66" s="4"/>
      <c r="F66" s="4"/>
      <c r="G66" s="4"/>
    </row>
    <row r="67" ht="15.75" customHeight="1">
      <c r="E67" s="4"/>
      <c r="F67" s="4"/>
      <c r="G67" s="4"/>
    </row>
    <row r="68" ht="15.75" customHeight="1">
      <c r="E68" s="4"/>
      <c r="F68" s="4"/>
      <c r="G68" s="4"/>
    </row>
    <row r="69" ht="15.75" customHeight="1">
      <c r="E69" s="4"/>
      <c r="F69" s="4"/>
      <c r="G69" s="4"/>
    </row>
    <row r="70" ht="15.75" customHeight="1">
      <c r="E70" s="4"/>
      <c r="F70" s="4"/>
      <c r="G70" s="4"/>
    </row>
    <row r="71" ht="15.75" customHeight="1">
      <c r="E71" s="4"/>
      <c r="F71" s="4"/>
      <c r="G71" s="4"/>
    </row>
    <row r="72" ht="15.75" customHeight="1">
      <c r="E72" s="4"/>
      <c r="F72" s="4"/>
      <c r="G72" s="4"/>
    </row>
    <row r="73" ht="15.75" customHeight="1">
      <c r="E73" s="4"/>
      <c r="F73" s="4"/>
      <c r="G73" s="4"/>
    </row>
    <row r="74" ht="15.75" customHeight="1">
      <c r="E74" s="4"/>
      <c r="F74" s="4"/>
      <c r="G74" s="4"/>
    </row>
    <row r="75" ht="15.75" customHeight="1">
      <c r="E75" s="4"/>
      <c r="F75" s="4"/>
      <c r="G75" s="4"/>
    </row>
    <row r="76" ht="15.75" customHeight="1">
      <c r="E76" s="4"/>
      <c r="F76" s="4"/>
      <c r="G76" s="4"/>
    </row>
    <row r="77" ht="15.75" customHeight="1">
      <c r="E77" s="4"/>
      <c r="F77" s="4"/>
      <c r="G77" s="4"/>
    </row>
    <row r="78" ht="15.75" customHeight="1">
      <c r="E78" s="4"/>
      <c r="F78" s="4"/>
      <c r="G78" s="4"/>
    </row>
    <row r="79" ht="15.75" customHeight="1">
      <c r="E79" s="4"/>
      <c r="F79" s="4"/>
      <c r="G79" s="4"/>
    </row>
    <row r="80" ht="15.75" customHeight="1">
      <c r="E80" s="4"/>
      <c r="F80" s="4"/>
      <c r="G80" s="4"/>
    </row>
    <row r="81" ht="15.75" customHeight="1">
      <c r="E81" s="4"/>
      <c r="F81" s="4"/>
      <c r="G81" s="4"/>
    </row>
    <row r="82" ht="15.75" customHeight="1">
      <c r="E82" s="4"/>
      <c r="F82" s="4"/>
      <c r="G82" s="4"/>
    </row>
    <row r="83" ht="15.75" customHeight="1">
      <c r="E83" s="4"/>
      <c r="F83" s="4"/>
      <c r="G83" s="4"/>
    </row>
    <row r="84" ht="15.75" customHeight="1">
      <c r="E84" s="4"/>
      <c r="F84" s="4"/>
      <c r="G84" s="4"/>
    </row>
    <row r="85" ht="15.75" customHeight="1">
      <c r="E85" s="4"/>
      <c r="F85" s="4"/>
      <c r="G85" s="4"/>
    </row>
    <row r="86" ht="15.75" customHeight="1">
      <c r="E86" s="4"/>
      <c r="F86" s="4"/>
      <c r="G86" s="4"/>
    </row>
    <row r="87" ht="15.75" customHeight="1">
      <c r="E87" s="4"/>
      <c r="F87" s="4"/>
      <c r="G87" s="4"/>
    </row>
    <row r="88" ht="15.75" customHeight="1">
      <c r="E88" s="4"/>
      <c r="F88" s="4"/>
      <c r="G88" s="4"/>
    </row>
    <row r="89" ht="15.75" customHeight="1">
      <c r="E89" s="4"/>
      <c r="F89" s="4"/>
      <c r="G89" s="4"/>
    </row>
    <row r="90" ht="15.75" customHeight="1">
      <c r="E90" s="4"/>
      <c r="F90" s="4"/>
      <c r="G90" s="4"/>
    </row>
    <row r="91" ht="15.75" customHeight="1">
      <c r="E91" s="4"/>
      <c r="F91" s="4"/>
      <c r="G91" s="4"/>
    </row>
    <row r="92" ht="15.75" customHeight="1">
      <c r="E92" s="4"/>
      <c r="F92" s="4"/>
      <c r="G92" s="4"/>
    </row>
    <row r="93" ht="15.75" customHeight="1">
      <c r="E93" s="4"/>
      <c r="F93" s="4"/>
      <c r="G93" s="4"/>
    </row>
    <row r="94" ht="15.75" customHeight="1">
      <c r="E94" s="4"/>
      <c r="F94" s="4"/>
      <c r="G94" s="4"/>
    </row>
    <row r="95" ht="15.75" customHeight="1">
      <c r="E95" s="4"/>
      <c r="F95" s="4"/>
      <c r="G95" s="4"/>
    </row>
    <row r="96" ht="15.75" customHeight="1">
      <c r="E96" s="4"/>
      <c r="F96" s="4"/>
      <c r="G96" s="4"/>
    </row>
    <row r="97" ht="15.75" customHeight="1">
      <c r="E97" s="4"/>
      <c r="F97" s="4"/>
      <c r="G97" s="4"/>
    </row>
    <row r="98" ht="15.75" customHeight="1">
      <c r="E98" s="4"/>
      <c r="F98" s="4"/>
      <c r="G98" s="4"/>
    </row>
    <row r="99" ht="15.75" customHeight="1">
      <c r="E99" s="4"/>
      <c r="F99" s="4"/>
      <c r="G99" s="4"/>
    </row>
    <row r="100" ht="15.75" customHeight="1">
      <c r="E100" s="4"/>
      <c r="F100" s="4"/>
      <c r="G100" s="4"/>
    </row>
    <row r="101" ht="15.75" customHeight="1">
      <c r="E101" s="4"/>
      <c r="F101" s="4"/>
      <c r="G101" s="4"/>
    </row>
    <row r="102" ht="15.75" customHeight="1">
      <c r="E102" s="4"/>
      <c r="F102" s="4"/>
      <c r="G102" s="4"/>
    </row>
    <row r="103" ht="15.75" customHeight="1">
      <c r="E103" s="4"/>
      <c r="F103" s="4"/>
      <c r="G103" s="4"/>
    </row>
    <row r="104" ht="15.75" customHeight="1">
      <c r="E104" s="4"/>
      <c r="F104" s="4"/>
      <c r="G104" s="4"/>
    </row>
    <row r="105" ht="15.75" customHeight="1">
      <c r="E105" s="4"/>
      <c r="F105" s="4"/>
      <c r="G105" s="4"/>
    </row>
    <row r="106" ht="15.75" customHeight="1">
      <c r="E106" s="4"/>
      <c r="F106" s="4"/>
      <c r="G106" s="4"/>
    </row>
    <row r="107" ht="15.75" customHeight="1">
      <c r="E107" s="4"/>
      <c r="F107" s="4"/>
      <c r="G107" s="4"/>
    </row>
    <row r="108" ht="15.75" customHeight="1">
      <c r="E108" s="4"/>
      <c r="F108" s="4"/>
      <c r="G108" s="4"/>
    </row>
    <row r="109" ht="15.75" customHeight="1">
      <c r="E109" s="4"/>
      <c r="F109" s="4"/>
      <c r="G109" s="4"/>
    </row>
    <row r="110" ht="15.75" customHeight="1">
      <c r="E110" s="4"/>
      <c r="F110" s="4"/>
      <c r="G110" s="4"/>
    </row>
    <row r="111" ht="15.75" customHeight="1">
      <c r="E111" s="4"/>
      <c r="F111" s="4"/>
      <c r="G111" s="4"/>
    </row>
    <row r="112" ht="15.75" customHeight="1">
      <c r="E112" s="4"/>
      <c r="F112" s="4"/>
      <c r="G112" s="4"/>
    </row>
    <row r="113" ht="15.75" customHeight="1">
      <c r="E113" s="4"/>
      <c r="F113" s="4"/>
      <c r="G113" s="4"/>
    </row>
    <row r="114" ht="15.75" customHeight="1">
      <c r="E114" s="4"/>
      <c r="F114" s="4"/>
      <c r="G114" s="4"/>
    </row>
    <row r="115" ht="15.75" customHeight="1">
      <c r="E115" s="4"/>
      <c r="F115" s="4"/>
      <c r="G115" s="4"/>
    </row>
    <row r="116" ht="15.75" customHeight="1">
      <c r="E116" s="4"/>
      <c r="F116" s="4"/>
      <c r="G116" s="4"/>
    </row>
    <row r="117" ht="15.75" customHeight="1">
      <c r="E117" s="4"/>
      <c r="F117" s="4"/>
      <c r="G117" s="4"/>
    </row>
    <row r="118" ht="15.75" customHeight="1">
      <c r="E118" s="4"/>
      <c r="F118" s="4"/>
      <c r="G118" s="4"/>
    </row>
    <row r="119" ht="15.75" customHeight="1">
      <c r="E119" s="4"/>
      <c r="F119" s="4"/>
      <c r="G119" s="4"/>
    </row>
    <row r="120" ht="15.75" customHeight="1">
      <c r="E120" s="4"/>
      <c r="F120" s="4"/>
      <c r="G120" s="4"/>
    </row>
    <row r="121" ht="15.75" customHeight="1">
      <c r="E121" s="4"/>
      <c r="F121" s="4"/>
      <c r="G121" s="4"/>
    </row>
    <row r="122" ht="15.75" customHeight="1">
      <c r="E122" s="4"/>
      <c r="F122" s="4"/>
      <c r="G122" s="4"/>
    </row>
    <row r="123" ht="15.75" customHeight="1">
      <c r="E123" s="4"/>
      <c r="F123" s="4"/>
      <c r="G123" s="4"/>
    </row>
    <row r="124" ht="15.75" customHeight="1">
      <c r="E124" s="4"/>
      <c r="F124" s="4"/>
      <c r="G124" s="4"/>
    </row>
    <row r="125" ht="15.75" customHeight="1">
      <c r="E125" s="4"/>
      <c r="F125" s="4"/>
      <c r="G125" s="4"/>
    </row>
    <row r="126" ht="15.75" customHeight="1">
      <c r="E126" s="4"/>
      <c r="F126" s="4"/>
      <c r="G126" s="4"/>
    </row>
    <row r="127" ht="15.75" customHeight="1">
      <c r="E127" s="4"/>
      <c r="F127" s="4"/>
      <c r="G127" s="4"/>
    </row>
    <row r="128" ht="15.75" customHeight="1">
      <c r="E128" s="4"/>
      <c r="F128" s="4"/>
      <c r="G128" s="4"/>
    </row>
    <row r="129" ht="15.75" customHeight="1">
      <c r="E129" s="4"/>
      <c r="F129" s="4"/>
      <c r="G129" s="4"/>
    </row>
    <row r="130" ht="15.75" customHeight="1">
      <c r="E130" s="4"/>
      <c r="F130" s="4"/>
      <c r="G130" s="4"/>
    </row>
    <row r="131" ht="15.75" customHeight="1">
      <c r="E131" s="4"/>
      <c r="F131" s="4"/>
      <c r="G131" s="4"/>
    </row>
    <row r="132" ht="15.75" customHeight="1">
      <c r="E132" s="4"/>
      <c r="F132" s="4"/>
      <c r="G132" s="4"/>
    </row>
    <row r="133" ht="15.75" customHeight="1">
      <c r="E133" s="4"/>
      <c r="F133" s="4"/>
      <c r="G133" s="4"/>
    </row>
    <row r="134" ht="15.75" customHeight="1">
      <c r="E134" s="4"/>
      <c r="F134" s="4"/>
      <c r="G134" s="4"/>
    </row>
    <row r="135" ht="15.75" customHeight="1">
      <c r="E135" s="4"/>
      <c r="F135" s="4"/>
      <c r="G135" s="4"/>
    </row>
    <row r="136" ht="15.75" customHeight="1">
      <c r="E136" s="4"/>
      <c r="F136" s="4"/>
      <c r="G136" s="4"/>
    </row>
    <row r="137" ht="15.75" customHeight="1">
      <c r="E137" s="4"/>
      <c r="F137" s="4"/>
      <c r="G137" s="4"/>
    </row>
    <row r="138" ht="15.75" customHeight="1">
      <c r="E138" s="4"/>
      <c r="F138" s="4"/>
      <c r="G138" s="4"/>
    </row>
    <row r="139" ht="15.75" customHeight="1">
      <c r="E139" s="4"/>
      <c r="F139" s="4"/>
      <c r="G139" s="4"/>
    </row>
    <row r="140" ht="15.75" customHeight="1">
      <c r="E140" s="4"/>
      <c r="F140" s="4"/>
      <c r="G140" s="4"/>
    </row>
    <row r="141" ht="15.75" customHeight="1">
      <c r="E141" s="4"/>
      <c r="F141" s="4"/>
      <c r="G141" s="4"/>
    </row>
    <row r="142" ht="15.75" customHeight="1">
      <c r="E142" s="4"/>
      <c r="F142" s="4"/>
      <c r="G142" s="4"/>
    </row>
    <row r="143" ht="15.75" customHeight="1">
      <c r="E143" s="4"/>
      <c r="F143" s="4"/>
      <c r="G143" s="4"/>
    </row>
    <row r="144" ht="15.75" customHeight="1">
      <c r="E144" s="4"/>
      <c r="F144" s="4"/>
      <c r="G144" s="4"/>
    </row>
    <row r="145" ht="15.75" customHeight="1">
      <c r="E145" s="4"/>
      <c r="F145" s="4"/>
      <c r="G145" s="4"/>
    </row>
    <row r="146" ht="15.75" customHeight="1">
      <c r="E146" s="4"/>
      <c r="F146" s="4"/>
      <c r="G146" s="4"/>
    </row>
    <row r="147" ht="15.75" customHeight="1">
      <c r="E147" s="4"/>
      <c r="F147" s="4"/>
      <c r="G147" s="4"/>
    </row>
    <row r="148" ht="15.75" customHeight="1">
      <c r="E148" s="4"/>
      <c r="F148" s="4"/>
      <c r="G148" s="4"/>
    </row>
    <row r="149" ht="15.75" customHeight="1">
      <c r="E149" s="4"/>
      <c r="F149" s="4"/>
      <c r="G149" s="4"/>
    </row>
    <row r="150" ht="15.75" customHeight="1">
      <c r="E150" s="4"/>
      <c r="F150" s="4"/>
      <c r="G150" s="4"/>
    </row>
    <row r="151" ht="15.75" customHeight="1">
      <c r="E151" s="4"/>
      <c r="F151" s="4"/>
      <c r="G151" s="4"/>
    </row>
    <row r="152" ht="15.75" customHeight="1">
      <c r="E152" s="4"/>
      <c r="F152" s="4"/>
      <c r="G152" s="4"/>
    </row>
    <row r="153" ht="15.75" customHeight="1">
      <c r="E153" s="4"/>
      <c r="F153" s="4"/>
      <c r="G153" s="4"/>
    </row>
    <row r="154" ht="15.75" customHeight="1">
      <c r="E154" s="4"/>
      <c r="F154" s="4"/>
      <c r="G154" s="4"/>
    </row>
    <row r="155" ht="15.75" customHeight="1">
      <c r="E155" s="4"/>
      <c r="F155" s="4"/>
      <c r="G155" s="4"/>
    </row>
    <row r="156" ht="15.75" customHeight="1">
      <c r="E156" s="4"/>
      <c r="F156" s="4"/>
      <c r="G156" s="4"/>
    </row>
    <row r="157" ht="15.75" customHeight="1">
      <c r="E157" s="4"/>
      <c r="F157" s="4"/>
      <c r="G157" s="4"/>
    </row>
    <row r="158" ht="15.75" customHeight="1">
      <c r="E158" s="4"/>
      <c r="F158" s="4"/>
      <c r="G158" s="4"/>
    </row>
    <row r="159" ht="15.75" customHeight="1">
      <c r="E159" s="4"/>
      <c r="F159" s="4"/>
      <c r="G159" s="4"/>
    </row>
    <row r="160" ht="15.75" customHeight="1">
      <c r="E160" s="4"/>
      <c r="F160" s="4"/>
      <c r="G160" s="4"/>
    </row>
    <row r="161" ht="15.75" customHeight="1">
      <c r="E161" s="4"/>
      <c r="F161" s="4"/>
      <c r="G161" s="4"/>
    </row>
    <row r="162" ht="15.75" customHeight="1">
      <c r="E162" s="4"/>
      <c r="F162" s="4"/>
      <c r="G162" s="4"/>
    </row>
    <row r="163" ht="15.75" customHeight="1">
      <c r="E163" s="4"/>
      <c r="F163" s="4"/>
      <c r="G163" s="4"/>
    </row>
    <row r="164" ht="15.75" customHeight="1">
      <c r="E164" s="4"/>
      <c r="F164" s="4"/>
      <c r="G164" s="4"/>
    </row>
    <row r="165" ht="15.75" customHeight="1">
      <c r="E165" s="4"/>
      <c r="F165" s="4"/>
      <c r="G165" s="4"/>
    </row>
    <row r="166" ht="15.75" customHeight="1">
      <c r="E166" s="4"/>
      <c r="F166" s="4"/>
      <c r="G166" s="4"/>
    </row>
    <row r="167" ht="15.75" customHeight="1">
      <c r="E167" s="4"/>
      <c r="F167" s="4"/>
      <c r="G167" s="4"/>
    </row>
    <row r="168" ht="15.75" customHeight="1">
      <c r="E168" s="4"/>
      <c r="F168" s="4"/>
      <c r="G168" s="4"/>
    </row>
    <row r="169" ht="15.75" customHeight="1">
      <c r="E169" s="4"/>
      <c r="F169" s="4"/>
      <c r="G169" s="4"/>
    </row>
    <row r="170" ht="15.75" customHeight="1">
      <c r="E170" s="4"/>
      <c r="F170" s="4"/>
      <c r="G170" s="4"/>
    </row>
    <row r="171" ht="15.75" customHeight="1">
      <c r="E171" s="4"/>
      <c r="F171" s="4"/>
      <c r="G171" s="4"/>
    </row>
    <row r="172" ht="15.75" customHeight="1">
      <c r="E172" s="4"/>
      <c r="F172" s="4"/>
      <c r="G172" s="4"/>
    </row>
    <row r="173" ht="15.75" customHeight="1">
      <c r="E173" s="4"/>
      <c r="F173" s="4"/>
      <c r="G173" s="4"/>
    </row>
    <row r="174" ht="15.75" customHeight="1">
      <c r="E174" s="4"/>
      <c r="F174" s="4"/>
      <c r="G174" s="4"/>
    </row>
    <row r="175" ht="15.75" customHeight="1">
      <c r="E175" s="4"/>
      <c r="F175" s="4"/>
      <c r="G175" s="4"/>
    </row>
    <row r="176" ht="15.75" customHeight="1">
      <c r="E176" s="4"/>
      <c r="F176" s="4"/>
      <c r="G176" s="4"/>
    </row>
    <row r="177" ht="15.75" customHeight="1">
      <c r="E177" s="4"/>
      <c r="F177" s="4"/>
      <c r="G177" s="4"/>
    </row>
    <row r="178" ht="15.75" customHeight="1">
      <c r="E178" s="4"/>
      <c r="F178" s="4"/>
      <c r="G178" s="4"/>
    </row>
    <row r="179" ht="15.75" customHeight="1">
      <c r="E179" s="4"/>
      <c r="F179" s="4"/>
      <c r="G179" s="4"/>
    </row>
    <row r="180" ht="15.75" customHeight="1">
      <c r="E180" s="4"/>
      <c r="F180" s="4"/>
      <c r="G180" s="4"/>
    </row>
    <row r="181" ht="15.75" customHeight="1">
      <c r="E181" s="4"/>
      <c r="F181" s="4"/>
      <c r="G181" s="4"/>
    </row>
    <row r="182" ht="15.75" customHeight="1">
      <c r="E182" s="4"/>
      <c r="F182" s="4"/>
      <c r="G182" s="4"/>
    </row>
    <row r="183" ht="15.75" customHeight="1">
      <c r="E183" s="4"/>
      <c r="F183" s="4"/>
      <c r="G183" s="4"/>
    </row>
    <row r="184" ht="15.75" customHeight="1">
      <c r="E184" s="4"/>
      <c r="F184" s="4"/>
      <c r="G184" s="4"/>
    </row>
    <row r="185" ht="15.75" customHeight="1">
      <c r="E185" s="4"/>
      <c r="F185" s="4"/>
      <c r="G185" s="4"/>
    </row>
    <row r="186" ht="15.75" customHeight="1">
      <c r="E186" s="4"/>
      <c r="F186" s="4"/>
      <c r="G186" s="4"/>
    </row>
    <row r="187" ht="15.75" customHeight="1">
      <c r="E187" s="4"/>
      <c r="F187" s="4"/>
      <c r="G187" s="4"/>
    </row>
    <row r="188" ht="15.75" customHeight="1">
      <c r="E188" s="4"/>
      <c r="F188" s="4"/>
      <c r="G188" s="4"/>
    </row>
    <row r="189" ht="15.75" customHeight="1">
      <c r="E189" s="4"/>
      <c r="F189" s="4"/>
      <c r="G189" s="4"/>
    </row>
    <row r="190" ht="15.75" customHeight="1">
      <c r="E190" s="4"/>
      <c r="F190" s="4"/>
      <c r="G190" s="4"/>
    </row>
    <row r="191" ht="15.75" customHeight="1">
      <c r="E191" s="4"/>
      <c r="F191" s="4"/>
      <c r="G191" s="4"/>
    </row>
    <row r="192" ht="15.75" customHeight="1">
      <c r="E192" s="4"/>
      <c r="F192" s="4"/>
      <c r="G192" s="4"/>
    </row>
    <row r="193" ht="15.75" customHeight="1">
      <c r="E193" s="4"/>
      <c r="F193" s="4"/>
      <c r="G193" s="4"/>
    </row>
    <row r="194" ht="15.75" customHeight="1">
      <c r="E194" s="4"/>
      <c r="F194" s="4"/>
      <c r="G194" s="4"/>
    </row>
    <row r="195" ht="15.75" customHeight="1">
      <c r="E195" s="4"/>
      <c r="F195" s="4"/>
      <c r="G195" s="4"/>
    </row>
    <row r="196" ht="15.75" customHeight="1">
      <c r="E196" s="4"/>
      <c r="F196" s="4"/>
      <c r="G196" s="4"/>
    </row>
    <row r="197" ht="15.75" customHeight="1">
      <c r="E197" s="4"/>
      <c r="F197" s="4"/>
      <c r="G197" s="4"/>
    </row>
    <row r="198" ht="15.75" customHeight="1">
      <c r="E198" s="4"/>
      <c r="F198" s="4"/>
      <c r="G198" s="4"/>
    </row>
    <row r="199" ht="15.75" customHeight="1">
      <c r="E199" s="4"/>
      <c r="F199" s="4"/>
      <c r="G199" s="4"/>
    </row>
    <row r="200" ht="15.75" customHeight="1">
      <c r="E200" s="4"/>
      <c r="F200" s="4"/>
      <c r="G200" s="4"/>
    </row>
    <row r="201" ht="15.75" customHeight="1">
      <c r="E201" s="4"/>
      <c r="F201" s="4"/>
      <c r="G201" s="4"/>
    </row>
    <row r="202" ht="15.75" customHeight="1">
      <c r="E202" s="4"/>
      <c r="F202" s="4"/>
      <c r="G202" s="4"/>
    </row>
    <row r="203" ht="15.75" customHeight="1">
      <c r="E203" s="4"/>
      <c r="F203" s="4"/>
      <c r="G203" s="4"/>
    </row>
    <row r="204" ht="15.75" customHeight="1">
      <c r="E204" s="4"/>
      <c r="F204" s="4"/>
      <c r="G204" s="4"/>
    </row>
    <row r="205" ht="15.75" customHeight="1">
      <c r="E205" s="4"/>
      <c r="F205" s="4"/>
      <c r="G205" s="4"/>
    </row>
    <row r="206" ht="15.75" customHeight="1">
      <c r="E206" s="4"/>
      <c r="F206" s="4"/>
      <c r="G206" s="4"/>
    </row>
    <row r="207" ht="15.75" customHeight="1">
      <c r="E207" s="4"/>
      <c r="F207" s="4"/>
      <c r="G207" s="4"/>
    </row>
    <row r="208" ht="15.75" customHeight="1">
      <c r="E208" s="4"/>
      <c r="F208" s="4"/>
      <c r="G208" s="4"/>
    </row>
    <row r="209" ht="15.75" customHeight="1">
      <c r="E209" s="4"/>
      <c r="F209" s="4"/>
      <c r="G209" s="4"/>
    </row>
    <row r="210" ht="15.75" customHeight="1">
      <c r="E210" s="4"/>
      <c r="F210" s="4"/>
      <c r="G210" s="4"/>
    </row>
    <row r="211" ht="15.75" customHeight="1">
      <c r="E211" s="4"/>
      <c r="F211" s="4"/>
      <c r="G211" s="4"/>
    </row>
    <row r="212" ht="15.75" customHeight="1">
      <c r="E212" s="4"/>
      <c r="F212" s="4"/>
      <c r="G212" s="4"/>
    </row>
    <row r="213" ht="15.75" customHeight="1">
      <c r="E213" s="4"/>
      <c r="F213" s="4"/>
      <c r="G213" s="4"/>
    </row>
    <row r="214" ht="15.75" customHeight="1">
      <c r="E214" s="4"/>
      <c r="F214" s="4"/>
      <c r="G214" s="4"/>
    </row>
    <row r="215" ht="15.75" customHeight="1">
      <c r="E215" s="4"/>
      <c r="F215" s="4"/>
      <c r="G215" s="4"/>
    </row>
    <row r="216" ht="15.75" customHeight="1">
      <c r="E216" s="4"/>
      <c r="F216" s="4"/>
      <c r="G216" s="4"/>
    </row>
    <row r="217" ht="15.75" customHeight="1">
      <c r="E217" s="4"/>
      <c r="F217" s="4"/>
      <c r="G217" s="4"/>
    </row>
    <row r="218" ht="15.75" customHeight="1">
      <c r="E218" s="4"/>
      <c r="F218" s="4"/>
      <c r="G218" s="4"/>
    </row>
    <row r="219" ht="15.75" customHeight="1">
      <c r="E219" s="4"/>
      <c r="F219" s="4"/>
      <c r="G219" s="4"/>
    </row>
    <row r="220" ht="15.75" customHeight="1">
      <c r="E220" s="4"/>
      <c r="F220" s="4"/>
      <c r="G220" s="4"/>
    </row>
    <row r="221" ht="15.75" customHeight="1">
      <c r="E221" s="4"/>
      <c r="F221" s="4"/>
      <c r="G221" s="4"/>
    </row>
    <row r="222" ht="15.75" customHeight="1">
      <c r="E222" s="4"/>
      <c r="F222" s="4"/>
      <c r="G222" s="4"/>
    </row>
    <row r="223" ht="15.75" customHeight="1">
      <c r="E223" s="4"/>
      <c r="F223" s="4"/>
      <c r="G223" s="4"/>
    </row>
    <row r="224" ht="15.75" customHeight="1">
      <c r="E224" s="4"/>
      <c r="F224" s="4"/>
      <c r="G224" s="4"/>
    </row>
    <row r="225" ht="15.75" customHeight="1">
      <c r="E225" s="4"/>
      <c r="F225" s="4"/>
      <c r="G225" s="4"/>
    </row>
    <row r="226" ht="15.75" customHeight="1">
      <c r="E226" s="4"/>
      <c r="F226" s="4"/>
      <c r="G226" s="4"/>
    </row>
    <row r="227" ht="15.75" customHeight="1">
      <c r="E227" s="4"/>
      <c r="F227" s="4"/>
      <c r="G227" s="4"/>
    </row>
    <row r="228" ht="15.75" customHeight="1">
      <c r="E228" s="4"/>
      <c r="F228" s="4"/>
      <c r="G228" s="4"/>
    </row>
    <row r="229" ht="15.75" customHeight="1">
      <c r="E229" s="4"/>
      <c r="F229" s="4"/>
      <c r="G229" s="4"/>
    </row>
    <row r="230" ht="15.75" customHeight="1">
      <c r="E230" s="4"/>
      <c r="F230" s="4"/>
      <c r="G230" s="4"/>
    </row>
    <row r="231" ht="15.75" customHeight="1">
      <c r="E231" s="4"/>
      <c r="F231" s="4"/>
      <c r="G231" s="4"/>
    </row>
    <row r="232" ht="15.75" customHeight="1">
      <c r="E232" s="4"/>
      <c r="F232" s="4"/>
      <c r="G232" s="4"/>
    </row>
    <row r="233" ht="15.75" customHeight="1">
      <c r="E233" s="4"/>
      <c r="F233" s="4"/>
      <c r="G233" s="4"/>
    </row>
    <row r="234" ht="15.75" customHeight="1">
      <c r="E234" s="4"/>
      <c r="F234" s="4"/>
      <c r="G234" s="4"/>
    </row>
    <row r="235" ht="15.75" customHeight="1">
      <c r="E235" s="4"/>
      <c r="F235" s="4"/>
      <c r="G235" s="4"/>
    </row>
    <row r="236" ht="15.75" customHeight="1">
      <c r="E236" s="4"/>
      <c r="F236" s="4"/>
      <c r="G236" s="4"/>
    </row>
    <row r="237" ht="15.75" customHeight="1">
      <c r="E237" s="4"/>
      <c r="F237" s="4"/>
      <c r="G237" s="4"/>
    </row>
    <row r="238" ht="15.75" customHeight="1">
      <c r="E238" s="4"/>
      <c r="F238" s="4"/>
      <c r="G238" s="4"/>
    </row>
    <row r="239" ht="15.75" customHeight="1">
      <c r="E239" s="4"/>
      <c r="F239" s="4"/>
      <c r="G239" s="4"/>
    </row>
    <row r="240" ht="15.75" customHeight="1">
      <c r="E240" s="4"/>
      <c r="F240" s="4"/>
      <c r="G240" s="4"/>
    </row>
    <row r="241" ht="15.75" customHeight="1">
      <c r="E241" s="4"/>
      <c r="F241" s="4"/>
      <c r="G241" s="4"/>
    </row>
    <row r="242" ht="15.75" customHeight="1">
      <c r="E242" s="4"/>
      <c r="F242" s="4"/>
      <c r="G242" s="4"/>
    </row>
    <row r="243" ht="15.75" customHeight="1">
      <c r="E243" s="4"/>
      <c r="F243" s="4"/>
      <c r="G243" s="4"/>
    </row>
    <row r="244" ht="15.75" customHeight="1">
      <c r="E244" s="4"/>
      <c r="F244" s="4"/>
      <c r="G244" s="4"/>
    </row>
    <row r="245" ht="15.75" customHeight="1">
      <c r="E245" s="4"/>
      <c r="F245" s="4"/>
      <c r="G245" s="4"/>
    </row>
    <row r="246" ht="15.75" customHeight="1">
      <c r="E246" s="4"/>
      <c r="F246" s="4"/>
      <c r="G246" s="4"/>
    </row>
    <row r="247" ht="15.75" customHeight="1">
      <c r="E247" s="4"/>
      <c r="F247" s="4"/>
      <c r="G247" s="4"/>
    </row>
    <row r="248" ht="15.75" customHeight="1">
      <c r="E248" s="4"/>
      <c r="F248" s="4"/>
      <c r="G248" s="4"/>
    </row>
    <row r="249" ht="15.75" customHeight="1">
      <c r="E249" s="4"/>
      <c r="F249" s="4"/>
      <c r="G249" s="4"/>
    </row>
    <row r="250" ht="15.75" customHeight="1">
      <c r="E250" s="4"/>
      <c r="F250" s="4"/>
      <c r="G250" s="4"/>
    </row>
    <row r="251" ht="15.75" customHeight="1">
      <c r="E251" s="4"/>
      <c r="F251" s="4"/>
      <c r="G251" s="4"/>
    </row>
    <row r="252" ht="15.75" customHeight="1">
      <c r="E252" s="4"/>
      <c r="F252" s="4"/>
      <c r="G252" s="4"/>
    </row>
    <row r="253" ht="15.75" customHeight="1">
      <c r="E253" s="4"/>
      <c r="F253" s="4"/>
      <c r="G253" s="4"/>
    </row>
    <row r="254" ht="15.75" customHeight="1">
      <c r="E254" s="4"/>
      <c r="F254" s="4"/>
      <c r="G254" s="4"/>
    </row>
    <row r="255" ht="15.75" customHeight="1">
      <c r="E255" s="4"/>
      <c r="F255" s="4"/>
      <c r="G255" s="4"/>
    </row>
    <row r="256" ht="15.75" customHeight="1">
      <c r="E256" s="4"/>
      <c r="F256" s="4"/>
      <c r="G256" s="4"/>
    </row>
    <row r="257" ht="15.75" customHeight="1">
      <c r="E257" s="4"/>
      <c r="F257" s="4"/>
      <c r="G257" s="4"/>
    </row>
    <row r="258" ht="15.75" customHeight="1">
      <c r="E258" s="4"/>
      <c r="F258" s="4"/>
      <c r="G258" s="4"/>
    </row>
    <row r="259" ht="15.75" customHeight="1">
      <c r="E259" s="4"/>
      <c r="F259" s="4"/>
      <c r="G259" s="4"/>
    </row>
    <row r="260" ht="15.75" customHeight="1">
      <c r="E260" s="4"/>
      <c r="F260" s="4"/>
      <c r="G260" s="4"/>
    </row>
    <row r="261" ht="15.75" customHeight="1">
      <c r="E261" s="4"/>
      <c r="F261" s="4"/>
      <c r="G261" s="4"/>
    </row>
    <row r="262" ht="15.75" customHeight="1">
      <c r="E262" s="4"/>
      <c r="F262" s="4"/>
      <c r="G262" s="4"/>
    </row>
    <row r="263" ht="15.75" customHeight="1">
      <c r="E263" s="4"/>
      <c r="F263" s="4"/>
      <c r="G263" s="4"/>
    </row>
    <row r="264" ht="15.75" customHeight="1">
      <c r="E264" s="4"/>
      <c r="F264" s="4"/>
      <c r="G264" s="4"/>
    </row>
    <row r="265" ht="15.75" customHeight="1">
      <c r="E265" s="4"/>
      <c r="F265" s="4"/>
      <c r="G265" s="4"/>
    </row>
    <row r="266" ht="15.75" customHeight="1">
      <c r="E266" s="4"/>
      <c r="F266" s="4"/>
      <c r="G266" s="4"/>
    </row>
    <row r="267" ht="15.75" customHeight="1">
      <c r="E267" s="4"/>
      <c r="F267" s="4"/>
      <c r="G267" s="4"/>
    </row>
    <row r="268" ht="15.75" customHeight="1">
      <c r="E268" s="4"/>
      <c r="F268" s="4"/>
      <c r="G268" s="4"/>
    </row>
    <row r="269" ht="15.75" customHeight="1">
      <c r="E269" s="4"/>
      <c r="F269" s="4"/>
      <c r="G269" s="4"/>
    </row>
    <row r="270" ht="15.75" customHeight="1">
      <c r="E270" s="4"/>
      <c r="F270" s="4"/>
      <c r="G270" s="4"/>
    </row>
    <row r="271" ht="15.75" customHeight="1">
      <c r="E271" s="4"/>
      <c r="F271" s="4"/>
      <c r="G271" s="4"/>
    </row>
    <row r="272" ht="15.75" customHeight="1">
      <c r="E272" s="4"/>
      <c r="F272" s="4"/>
      <c r="G272" s="4"/>
    </row>
    <row r="273" ht="15.75" customHeight="1">
      <c r="E273" s="4"/>
      <c r="F273" s="4"/>
      <c r="G273" s="4"/>
    </row>
    <row r="274" ht="15.75" customHeight="1">
      <c r="E274" s="4"/>
      <c r="F274" s="4"/>
      <c r="G274" s="4"/>
    </row>
    <row r="275" ht="15.75" customHeight="1">
      <c r="E275" s="4"/>
      <c r="F275" s="4"/>
      <c r="G275" s="4"/>
    </row>
    <row r="276" ht="15.75" customHeight="1">
      <c r="E276" s="4"/>
      <c r="F276" s="4"/>
      <c r="G276" s="4"/>
    </row>
    <row r="277" ht="15.75" customHeight="1">
      <c r="E277" s="4"/>
      <c r="F277" s="4"/>
      <c r="G277" s="4"/>
    </row>
    <row r="278" ht="15.75" customHeight="1">
      <c r="E278" s="4"/>
      <c r="F278" s="4"/>
      <c r="G278" s="4"/>
    </row>
    <row r="279" ht="15.75" customHeight="1">
      <c r="E279" s="4"/>
      <c r="F279" s="4"/>
      <c r="G279" s="4"/>
    </row>
    <row r="280" ht="15.75" customHeight="1">
      <c r="E280" s="4"/>
      <c r="F280" s="4"/>
      <c r="G280" s="4"/>
    </row>
    <row r="281" ht="15.75" customHeight="1">
      <c r="E281" s="4"/>
      <c r="F281" s="4"/>
      <c r="G281" s="4"/>
    </row>
    <row r="282" ht="15.75" customHeight="1">
      <c r="E282" s="4"/>
      <c r="F282" s="4"/>
      <c r="G282" s="4"/>
    </row>
    <row r="283" ht="15.75" customHeight="1">
      <c r="E283" s="4"/>
      <c r="F283" s="4"/>
      <c r="G283" s="4"/>
    </row>
    <row r="284" ht="15.75" customHeight="1">
      <c r="E284" s="4"/>
      <c r="F284" s="4"/>
      <c r="G284" s="4"/>
    </row>
    <row r="285" ht="15.75" customHeight="1">
      <c r="E285" s="4"/>
      <c r="F285" s="4"/>
      <c r="G285" s="4"/>
    </row>
    <row r="286" ht="15.75" customHeight="1">
      <c r="E286" s="4"/>
      <c r="F286" s="4"/>
      <c r="G286" s="4"/>
    </row>
    <row r="287" ht="15.75" customHeight="1">
      <c r="E287" s="4"/>
      <c r="F287" s="4"/>
      <c r="G287" s="4"/>
    </row>
    <row r="288" ht="15.75" customHeight="1">
      <c r="E288" s="4"/>
      <c r="F288" s="4"/>
      <c r="G288" s="4"/>
    </row>
    <row r="289" ht="15.75" customHeight="1">
      <c r="E289" s="4"/>
      <c r="F289" s="4"/>
      <c r="G289" s="4"/>
    </row>
    <row r="290" ht="15.75" customHeight="1">
      <c r="E290" s="4"/>
      <c r="F290" s="4"/>
      <c r="G290" s="4"/>
    </row>
    <row r="291" ht="15.75" customHeight="1">
      <c r="E291" s="4"/>
      <c r="F291" s="4"/>
      <c r="G291" s="4"/>
    </row>
    <row r="292" ht="15.75" customHeight="1">
      <c r="E292" s="4"/>
      <c r="F292" s="4"/>
      <c r="G292" s="4"/>
    </row>
    <row r="293" ht="15.75" customHeight="1">
      <c r="E293" s="4"/>
      <c r="F293" s="4"/>
      <c r="G293" s="4"/>
    </row>
    <row r="294" ht="15.75" customHeight="1">
      <c r="E294" s="4"/>
      <c r="F294" s="4"/>
      <c r="G294" s="4"/>
    </row>
    <row r="295" ht="15.75" customHeight="1">
      <c r="E295" s="4"/>
      <c r="F295" s="4"/>
      <c r="G295" s="4"/>
    </row>
    <row r="296" ht="15.75" customHeight="1">
      <c r="E296" s="4"/>
      <c r="F296" s="4"/>
      <c r="G296" s="4"/>
    </row>
    <row r="297" ht="15.75" customHeight="1">
      <c r="E297" s="4"/>
      <c r="F297" s="4"/>
      <c r="G297" s="4"/>
    </row>
    <row r="298" ht="15.75" customHeight="1">
      <c r="E298" s="4"/>
      <c r="F298" s="4"/>
      <c r="G298" s="4"/>
    </row>
    <row r="299" ht="15.75" customHeight="1">
      <c r="E299" s="4"/>
      <c r="F299" s="4"/>
      <c r="G299" s="4"/>
    </row>
    <row r="300" ht="15.75" customHeight="1">
      <c r="E300" s="4"/>
      <c r="F300" s="4"/>
      <c r="G300" s="4"/>
    </row>
    <row r="301" ht="15.75" customHeight="1">
      <c r="E301" s="4"/>
      <c r="F301" s="4"/>
      <c r="G301" s="4"/>
    </row>
    <row r="302" ht="15.75" customHeight="1">
      <c r="E302" s="4"/>
      <c r="F302" s="4"/>
      <c r="G302" s="4"/>
    </row>
    <row r="303" ht="15.75" customHeight="1">
      <c r="E303" s="4"/>
      <c r="F303" s="4"/>
      <c r="G303" s="4"/>
    </row>
    <row r="304" ht="15.75" customHeight="1">
      <c r="E304" s="4"/>
      <c r="F304" s="4"/>
      <c r="G304" s="4"/>
    </row>
    <row r="305" ht="15.75" customHeight="1">
      <c r="E305" s="4"/>
      <c r="F305" s="4"/>
      <c r="G305" s="4"/>
    </row>
    <row r="306" ht="15.75" customHeight="1">
      <c r="E306" s="4"/>
      <c r="F306" s="4"/>
      <c r="G306" s="4"/>
    </row>
    <row r="307" ht="15.75" customHeight="1">
      <c r="E307" s="4"/>
      <c r="F307" s="4"/>
      <c r="G307" s="4"/>
    </row>
    <row r="308" ht="15.75" customHeight="1">
      <c r="E308" s="4"/>
      <c r="F308" s="4"/>
      <c r="G308" s="4"/>
    </row>
    <row r="309" ht="15.75" customHeight="1">
      <c r="E309" s="4"/>
      <c r="F309" s="4"/>
      <c r="G309" s="4"/>
    </row>
    <row r="310" ht="15.75" customHeight="1">
      <c r="E310" s="4"/>
      <c r="F310" s="4"/>
      <c r="G310" s="4"/>
    </row>
    <row r="311" ht="15.75" customHeight="1">
      <c r="E311" s="4"/>
      <c r="F311" s="4"/>
      <c r="G311" s="4"/>
    </row>
    <row r="312" ht="15.75" customHeight="1">
      <c r="E312" s="4"/>
      <c r="F312" s="4"/>
      <c r="G312" s="4"/>
    </row>
    <row r="313" ht="15.75" customHeight="1">
      <c r="E313" s="4"/>
      <c r="F313" s="4"/>
      <c r="G313" s="4"/>
    </row>
    <row r="314" ht="15.75" customHeight="1">
      <c r="E314" s="4"/>
      <c r="F314" s="4"/>
      <c r="G314" s="4"/>
    </row>
    <row r="315" ht="15.75" customHeight="1">
      <c r="E315" s="4"/>
      <c r="F315" s="4"/>
      <c r="G315" s="4"/>
    </row>
    <row r="316" ht="15.75" customHeight="1">
      <c r="E316" s="4"/>
      <c r="F316" s="4"/>
      <c r="G316" s="4"/>
    </row>
    <row r="317" ht="15.75" customHeight="1">
      <c r="E317" s="4"/>
      <c r="F317" s="4"/>
      <c r="G317" s="4"/>
    </row>
    <row r="318" ht="15.75" customHeight="1">
      <c r="E318" s="4"/>
      <c r="F318" s="4"/>
      <c r="G318" s="4"/>
    </row>
    <row r="319" ht="15.75" customHeight="1">
      <c r="E319" s="4"/>
      <c r="F319" s="4"/>
      <c r="G319" s="4"/>
    </row>
    <row r="320" ht="15.75" customHeight="1">
      <c r="E320" s="4"/>
      <c r="F320" s="4"/>
      <c r="G320" s="4"/>
    </row>
    <row r="321" ht="15.75" customHeight="1">
      <c r="E321" s="4"/>
      <c r="F321" s="4"/>
      <c r="G321" s="4"/>
    </row>
    <row r="322" ht="15.75" customHeight="1">
      <c r="E322" s="4"/>
      <c r="F322" s="4"/>
      <c r="G322" s="4"/>
    </row>
    <row r="323" ht="15.75" customHeight="1">
      <c r="E323" s="4"/>
      <c r="F323" s="4"/>
      <c r="G323" s="4"/>
    </row>
    <row r="324" ht="15.75" customHeight="1">
      <c r="E324" s="4"/>
      <c r="F324" s="4"/>
      <c r="G324" s="4"/>
    </row>
    <row r="325" ht="15.75" customHeight="1">
      <c r="E325" s="4"/>
      <c r="F325" s="4"/>
      <c r="G325" s="4"/>
    </row>
    <row r="326" ht="15.75" customHeight="1">
      <c r="E326" s="4"/>
      <c r="F326" s="4"/>
      <c r="G326" s="4"/>
    </row>
    <row r="327" ht="15.75" customHeight="1">
      <c r="E327" s="4"/>
      <c r="F327" s="4"/>
      <c r="G327" s="4"/>
    </row>
    <row r="328" ht="15.75" customHeight="1">
      <c r="E328" s="4"/>
      <c r="F328" s="4"/>
      <c r="G328" s="4"/>
    </row>
    <row r="329" ht="15.75" customHeight="1">
      <c r="E329" s="4"/>
      <c r="F329" s="4"/>
      <c r="G329" s="4"/>
    </row>
    <row r="330" ht="15.75" customHeight="1">
      <c r="E330" s="4"/>
      <c r="F330" s="4"/>
      <c r="G330" s="4"/>
    </row>
    <row r="331" ht="15.75" customHeight="1">
      <c r="E331" s="4"/>
      <c r="F331" s="4"/>
      <c r="G331" s="4"/>
    </row>
    <row r="332" ht="15.75" customHeight="1">
      <c r="E332" s="4"/>
      <c r="F332" s="4"/>
      <c r="G332" s="4"/>
    </row>
    <row r="333" ht="15.75" customHeight="1">
      <c r="E333" s="4"/>
      <c r="F333" s="4"/>
      <c r="G333" s="4"/>
    </row>
    <row r="334" ht="15.75" customHeight="1">
      <c r="E334" s="4"/>
      <c r="F334" s="4"/>
      <c r="G334" s="4"/>
    </row>
    <row r="335" ht="15.75" customHeight="1">
      <c r="E335" s="4"/>
      <c r="F335" s="4"/>
      <c r="G335" s="4"/>
    </row>
    <row r="336" ht="15.75" customHeight="1">
      <c r="E336" s="4"/>
      <c r="F336" s="4"/>
      <c r="G336" s="4"/>
    </row>
    <row r="337" ht="15.75" customHeight="1">
      <c r="E337" s="4"/>
      <c r="F337" s="4"/>
      <c r="G337" s="4"/>
    </row>
    <row r="338" ht="15.75" customHeight="1">
      <c r="E338" s="4"/>
      <c r="F338" s="4"/>
      <c r="G338" s="4"/>
    </row>
    <row r="339" ht="15.75" customHeight="1">
      <c r="E339" s="4"/>
      <c r="F339" s="4"/>
      <c r="G339" s="4"/>
    </row>
    <row r="340" ht="15.75" customHeight="1">
      <c r="E340" s="4"/>
      <c r="F340" s="4"/>
      <c r="G340" s="4"/>
    </row>
    <row r="341" ht="15.75" customHeight="1">
      <c r="E341" s="4"/>
      <c r="F341" s="4"/>
      <c r="G341" s="4"/>
    </row>
    <row r="342" ht="15.75" customHeight="1">
      <c r="E342" s="4"/>
      <c r="F342" s="4"/>
      <c r="G342" s="4"/>
    </row>
    <row r="343" ht="15.75" customHeight="1">
      <c r="E343" s="4"/>
      <c r="F343" s="4"/>
      <c r="G343" s="4"/>
    </row>
    <row r="344" ht="15.75" customHeight="1">
      <c r="E344" s="4"/>
      <c r="F344" s="4"/>
      <c r="G344" s="4"/>
    </row>
    <row r="345" ht="15.75" customHeight="1">
      <c r="E345" s="4"/>
      <c r="F345" s="4"/>
      <c r="G345" s="4"/>
    </row>
    <row r="346" ht="15.75" customHeight="1">
      <c r="E346" s="4"/>
      <c r="F346" s="4"/>
      <c r="G346" s="4"/>
    </row>
    <row r="347" ht="15.75" customHeight="1">
      <c r="E347" s="4"/>
      <c r="F347" s="4"/>
      <c r="G347" s="4"/>
    </row>
    <row r="348" ht="15.75" customHeight="1">
      <c r="E348" s="4"/>
      <c r="F348" s="4"/>
      <c r="G348" s="4"/>
    </row>
    <row r="349" ht="15.75" customHeight="1">
      <c r="E349" s="4"/>
      <c r="F349" s="4"/>
      <c r="G349" s="4"/>
    </row>
    <row r="350" ht="15.75" customHeight="1">
      <c r="E350" s="4"/>
      <c r="F350" s="4"/>
      <c r="G350" s="4"/>
    </row>
    <row r="351" ht="15.75" customHeight="1">
      <c r="E351" s="4"/>
      <c r="F351" s="4"/>
      <c r="G351" s="4"/>
    </row>
    <row r="352" ht="15.75" customHeight="1">
      <c r="E352" s="4"/>
      <c r="F352" s="4"/>
      <c r="G352" s="4"/>
    </row>
    <row r="353" ht="15.75" customHeight="1">
      <c r="E353" s="4"/>
      <c r="F353" s="4"/>
      <c r="G353" s="4"/>
    </row>
    <row r="354" ht="15.75" customHeight="1">
      <c r="E354" s="4"/>
      <c r="F354" s="4"/>
      <c r="G354" s="4"/>
    </row>
    <row r="355" ht="15.75" customHeight="1">
      <c r="E355" s="4"/>
      <c r="F355" s="4"/>
      <c r="G355" s="4"/>
    </row>
    <row r="356" ht="15.75" customHeight="1">
      <c r="E356" s="4"/>
      <c r="F356" s="4"/>
      <c r="G356" s="4"/>
    </row>
    <row r="357" ht="15.75" customHeight="1">
      <c r="E357" s="4"/>
      <c r="F357" s="4"/>
      <c r="G357" s="4"/>
    </row>
    <row r="358" ht="15.75" customHeight="1">
      <c r="E358" s="4"/>
      <c r="F358" s="4"/>
      <c r="G358" s="4"/>
    </row>
    <row r="359" ht="15.75" customHeight="1">
      <c r="E359" s="4"/>
      <c r="F359" s="4"/>
      <c r="G359" s="4"/>
    </row>
    <row r="360" ht="15.75" customHeight="1">
      <c r="E360" s="4"/>
      <c r="F360" s="4"/>
      <c r="G360" s="4"/>
    </row>
    <row r="361" ht="15.75" customHeight="1">
      <c r="E361" s="4"/>
      <c r="F361" s="4"/>
      <c r="G361" s="4"/>
    </row>
    <row r="362" ht="15.75" customHeight="1">
      <c r="E362" s="4"/>
      <c r="F362" s="4"/>
      <c r="G362" s="4"/>
    </row>
    <row r="363" ht="15.75" customHeight="1">
      <c r="E363" s="4"/>
      <c r="F363" s="4"/>
      <c r="G363" s="4"/>
    </row>
    <row r="364" ht="15.75" customHeight="1">
      <c r="E364" s="4"/>
      <c r="F364" s="4"/>
      <c r="G364" s="4"/>
    </row>
    <row r="365" ht="15.75" customHeight="1">
      <c r="E365" s="4"/>
      <c r="F365" s="4"/>
      <c r="G365" s="4"/>
    </row>
    <row r="366" ht="15.75" customHeight="1">
      <c r="E366" s="4"/>
      <c r="F366" s="4"/>
      <c r="G366" s="4"/>
    </row>
    <row r="367" ht="15.75" customHeight="1">
      <c r="E367" s="4"/>
      <c r="F367" s="4"/>
      <c r="G367" s="4"/>
    </row>
    <row r="368" ht="15.75" customHeight="1">
      <c r="E368" s="4"/>
      <c r="F368" s="4"/>
      <c r="G368" s="4"/>
    </row>
    <row r="369" ht="15.75" customHeight="1">
      <c r="E369" s="4"/>
      <c r="F369" s="4"/>
      <c r="G369" s="4"/>
    </row>
    <row r="370" ht="15.75" customHeight="1">
      <c r="E370" s="4"/>
      <c r="F370" s="4"/>
      <c r="G370" s="4"/>
    </row>
    <row r="371" ht="15.75" customHeight="1">
      <c r="E371" s="4"/>
      <c r="F371" s="4"/>
      <c r="G371" s="4"/>
    </row>
    <row r="372" ht="15.75" customHeight="1">
      <c r="E372" s="4"/>
      <c r="F372" s="4"/>
      <c r="G372" s="4"/>
    </row>
    <row r="373" ht="15.75" customHeight="1">
      <c r="E373" s="4"/>
      <c r="F373" s="4"/>
      <c r="G373" s="4"/>
    </row>
    <row r="374" ht="15.75" customHeight="1">
      <c r="E374" s="4"/>
      <c r="F374" s="4"/>
      <c r="G374" s="4"/>
    </row>
    <row r="375" ht="15.75" customHeight="1">
      <c r="E375" s="4"/>
      <c r="F375" s="4"/>
      <c r="G375" s="4"/>
    </row>
    <row r="376" ht="15.75" customHeight="1">
      <c r="E376" s="4"/>
      <c r="F376" s="4"/>
      <c r="G376" s="4"/>
    </row>
    <row r="377" ht="15.75" customHeight="1">
      <c r="E377" s="4"/>
      <c r="F377" s="4"/>
      <c r="G377" s="4"/>
    </row>
    <row r="378" ht="15.75" customHeight="1">
      <c r="E378" s="4"/>
      <c r="F378" s="4"/>
      <c r="G378" s="4"/>
    </row>
    <row r="379" ht="15.75" customHeight="1">
      <c r="E379" s="4"/>
      <c r="F379" s="4"/>
      <c r="G379" s="4"/>
    </row>
    <row r="380" ht="15.75" customHeight="1">
      <c r="E380" s="4"/>
      <c r="F380" s="4"/>
      <c r="G380" s="4"/>
    </row>
    <row r="381" ht="15.75" customHeight="1">
      <c r="E381" s="4"/>
      <c r="F381" s="4"/>
      <c r="G381" s="4"/>
    </row>
    <row r="382" ht="15.75" customHeight="1">
      <c r="E382" s="4"/>
      <c r="F382" s="4"/>
      <c r="G382" s="4"/>
    </row>
    <row r="383" ht="15.75" customHeight="1">
      <c r="E383" s="4"/>
      <c r="F383" s="4"/>
      <c r="G383" s="4"/>
    </row>
    <row r="384" ht="15.75" customHeight="1">
      <c r="E384" s="4"/>
      <c r="F384" s="4"/>
      <c r="G384" s="4"/>
    </row>
    <row r="385" ht="15.75" customHeight="1">
      <c r="E385" s="4"/>
      <c r="F385" s="4"/>
      <c r="G385" s="4"/>
    </row>
    <row r="386" ht="15.75" customHeight="1">
      <c r="E386" s="4"/>
      <c r="F386" s="4"/>
      <c r="G386" s="4"/>
    </row>
    <row r="387" ht="15.75" customHeight="1">
      <c r="E387" s="4"/>
      <c r="F387" s="4"/>
      <c r="G387" s="4"/>
    </row>
    <row r="388" ht="15.75" customHeight="1">
      <c r="E388" s="4"/>
      <c r="F388" s="4"/>
      <c r="G388" s="4"/>
    </row>
    <row r="389" ht="15.75" customHeight="1">
      <c r="E389" s="4"/>
      <c r="F389" s="4"/>
      <c r="G389" s="4"/>
    </row>
    <row r="390" ht="15.75" customHeight="1">
      <c r="E390" s="4"/>
      <c r="F390" s="4"/>
      <c r="G390" s="4"/>
    </row>
    <row r="391" ht="15.75" customHeight="1">
      <c r="E391" s="4"/>
      <c r="F391" s="4"/>
      <c r="G391" s="4"/>
    </row>
    <row r="392" ht="15.75" customHeight="1">
      <c r="E392" s="4"/>
      <c r="F392" s="4"/>
      <c r="G392" s="4"/>
    </row>
    <row r="393" ht="15.75" customHeight="1">
      <c r="E393" s="4"/>
      <c r="F393" s="4"/>
      <c r="G393" s="4"/>
    </row>
    <row r="394" ht="15.75" customHeight="1">
      <c r="E394" s="4"/>
      <c r="F394" s="4"/>
      <c r="G394" s="4"/>
    </row>
    <row r="395" ht="15.75" customHeight="1">
      <c r="E395" s="4"/>
      <c r="F395" s="4"/>
      <c r="G395" s="4"/>
    </row>
    <row r="396" ht="15.75" customHeight="1">
      <c r="E396" s="4"/>
      <c r="F396" s="4"/>
      <c r="G396" s="4"/>
    </row>
    <row r="397" ht="15.75" customHeight="1">
      <c r="E397" s="4"/>
      <c r="F397" s="4"/>
      <c r="G397" s="4"/>
    </row>
    <row r="398" ht="15.75" customHeight="1">
      <c r="E398" s="4"/>
      <c r="F398" s="4"/>
      <c r="G398" s="4"/>
    </row>
    <row r="399" ht="15.75" customHeight="1">
      <c r="E399" s="4"/>
      <c r="F399" s="4"/>
      <c r="G399" s="4"/>
    </row>
    <row r="400" ht="15.75" customHeight="1">
      <c r="E400" s="4"/>
      <c r="F400" s="4"/>
      <c r="G400" s="4"/>
    </row>
    <row r="401" ht="15.75" customHeight="1">
      <c r="E401" s="4"/>
      <c r="F401" s="4"/>
      <c r="G401" s="4"/>
    </row>
    <row r="402" ht="15.75" customHeight="1">
      <c r="E402" s="4"/>
      <c r="F402" s="4"/>
      <c r="G402" s="4"/>
    </row>
    <row r="403" ht="15.75" customHeight="1">
      <c r="E403" s="4"/>
      <c r="F403" s="4"/>
      <c r="G403" s="4"/>
    </row>
    <row r="404" ht="15.75" customHeight="1">
      <c r="E404" s="4"/>
      <c r="F404" s="4"/>
      <c r="G404" s="4"/>
    </row>
    <row r="405" ht="15.75" customHeight="1">
      <c r="E405" s="4"/>
      <c r="F405" s="4"/>
      <c r="G405" s="4"/>
    </row>
    <row r="406" ht="15.75" customHeight="1">
      <c r="E406" s="4"/>
      <c r="F406" s="4"/>
      <c r="G406" s="4"/>
    </row>
    <row r="407" ht="15.75" customHeight="1">
      <c r="E407" s="4"/>
      <c r="F407" s="4"/>
      <c r="G407" s="4"/>
    </row>
    <row r="408" ht="15.75" customHeight="1">
      <c r="E408" s="4"/>
      <c r="F408" s="4"/>
      <c r="G408" s="4"/>
    </row>
    <row r="409" ht="15.75" customHeight="1">
      <c r="E409" s="4"/>
      <c r="F409" s="4"/>
      <c r="G409" s="4"/>
    </row>
    <row r="410" ht="15.75" customHeight="1">
      <c r="E410" s="4"/>
      <c r="F410" s="4"/>
      <c r="G410" s="4"/>
    </row>
    <row r="411" ht="15.75" customHeight="1">
      <c r="E411" s="4"/>
      <c r="F411" s="4"/>
      <c r="G411" s="4"/>
    </row>
    <row r="412" ht="15.75" customHeight="1">
      <c r="E412" s="4"/>
      <c r="F412" s="4"/>
      <c r="G412" s="4"/>
    </row>
    <row r="413" ht="15.75" customHeight="1">
      <c r="E413" s="4"/>
      <c r="F413" s="4"/>
      <c r="G413" s="4"/>
    </row>
    <row r="414" ht="15.75" customHeight="1">
      <c r="E414" s="4"/>
      <c r="F414" s="4"/>
      <c r="G414" s="4"/>
    </row>
    <row r="415" ht="15.75" customHeight="1">
      <c r="E415" s="4"/>
      <c r="F415" s="4"/>
      <c r="G415" s="4"/>
    </row>
    <row r="416" ht="15.75" customHeight="1">
      <c r="E416" s="4"/>
      <c r="F416" s="4"/>
      <c r="G416" s="4"/>
    </row>
    <row r="417" ht="15.75" customHeight="1">
      <c r="E417" s="4"/>
      <c r="F417" s="4"/>
      <c r="G417" s="4"/>
    </row>
    <row r="418" ht="15.75" customHeight="1">
      <c r="E418" s="4"/>
      <c r="F418" s="4"/>
      <c r="G418" s="4"/>
    </row>
    <row r="419" ht="15.75" customHeight="1">
      <c r="E419" s="4"/>
      <c r="F419" s="4"/>
      <c r="G419" s="4"/>
    </row>
    <row r="420" ht="15.75" customHeight="1">
      <c r="E420" s="4"/>
      <c r="F420" s="4"/>
      <c r="G420" s="4"/>
    </row>
    <row r="421" ht="15.75" customHeight="1">
      <c r="E421" s="4"/>
      <c r="F421" s="4"/>
      <c r="G421" s="4"/>
    </row>
    <row r="422" ht="15.75" customHeight="1">
      <c r="E422" s="4"/>
      <c r="F422" s="4"/>
      <c r="G422" s="4"/>
    </row>
    <row r="423" ht="15.75" customHeight="1">
      <c r="E423" s="4"/>
      <c r="F423" s="4"/>
      <c r="G423" s="4"/>
    </row>
    <row r="424" ht="15.75" customHeight="1">
      <c r="E424" s="4"/>
      <c r="F424" s="4"/>
      <c r="G424" s="4"/>
    </row>
    <row r="425" ht="15.75" customHeight="1">
      <c r="E425" s="4"/>
      <c r="F425" s="4"/>
      <c r="G425" s="4"/>
    </row>
    <row r="426" ht="15.75" customHeight="1">
      <c r="E426" s="4"/>
      <c r="F426" s="4"/>
      <c r="G426" s="4"/>
    </row>
    <row r="427" ht="15.75" customHeight="1">
      <c r="E427" s="4"/>
      <c r="F427" s="4"/>
      <c r="G427" s="4"/>
    </row>
    <row r="428" ht="15.75" customHeight="1">
      <c r="E428" s="4"/>
      <c r="F428" s="4"/>
      <c r="G428" s="4"/>
    </row>
    <row r="429" ht="15.75" customHeight="1">
      <c r="E429" s="4"/>
      <c r="F429" s="4"/>
      <c r="G429" s="4"/>
    </row>
    <row r="430" ht="15.75" customHeight="1">
      <c r="E430" s="4"/>
      <c r="F430" s="4"/>
      <c r="G430" s="4"/>
    </row>
    <row r="431" ht="15.75" customHeight="1">
      <c r="E431" s="4"/>
      <c r="F431" s="4"/>
      <c r="G431" s="4"/>
    </row>
    <row r="432" ht="15.75" customHeight="1">
      <c r="E432" s="4"/>
      <c r="F432" s="4"/>
      <c r="G432" s="4"/>
    </row>
    <row r="433" ht="15.75" customHeight="1">
      <c r="E433" s="4"/>
      <c r="F433" s="4"/>
      <c r="G433" s="4"/>
    </row>
    <row r="434" ht="15.75" customHeight="1">
      <c r="E434" s="4"/>
      <c r="F434" s="4"/>
      <c r="G434" s="4"/>
    </row>
    <row r="435" ht="15.75" customHeight="1">
      <c r="E435" s="4"/>
      <c r="F435" s="4"/>
      <c r="G435" s="4"/>
    </row>
    <row r="436" ht="15.75" customHeight="1">
      <c r="E436" s="4"/>
      <c r="F436" s="4"/>
      <c r="G436" s="4"/>
    </row>
    <row r="437" ht="15.75" customHeight="1">
      <c r="E437" s="4"/>
      <c r="F437" s="4"/>
      <c r="G437" s="4"/>
    </row>
    <row r="438" ht="15.75" customHeight="1">
      <c r="E438" s="4"/>
      <c r="F438" s="4"/>
      <c r="G438" s="4"/>
    </row>
    <row r="439" ht="15.75" customHeight="1">
      <c r="E439" s="4"/>
      <c r="F439" s="4"/>
      <c r="G439" s="4"/>
    </row>
    <row r="440" ht="15.75" customHeight="1">
      <c r="E440" s="4"/>
      <c r="F440" s="4"/>
      <c r="G440" s="4"/>
    </row>
    <row r="441" ht="15.75" customHeight="1">
      <c r="E441" s="4"/>
      <c r="F441" s="4"/>
      <c r="G441" s="4"/>
    </row>
    <row r="442" ht="15.75" customHeight="1">
      <c r="E442" s="4"/>
      <c r="F442" s="4"/>
      <c r="G442" s="4"/>
    </row>
    <row r="443" ht="15.75" customHeight="1">
      <c r="E443" s="4"/>
      <c r="F443" s="4"/>
      <c r="G443" s="4"/>
    </row>
    <row r="444" ht="15.75" customHeight="1">
      <c r="E444" s="4"/>
      <c r="F444" s="4"/>
      <c r="G444" s="4"/>
    </row>
    <row r="445" ht="15.75" customHeight="1">
      <c r="E445" s="4"/>
      <c r="F445" s="4"/>
      <c r="G445" s="4"/>
    </row>
    <row r="446" ht="15.75" customHeight="1">
      <c r="E446" s="4"/>
      <c r="F446" s="4"/>
      <c r="G446" s="4"/>
    </row>
    <row r="447" ht="15.75" customHeight="1">
      <c r="E447" s="4"/>
      <c r="F447" s="4"/>
      <c r="G447" s="4"/>
    </row>
    <row r="448" ht="15.75" customHeight="1">
      <c r="E448" s="4"/>
      <c r="F448" s="4"/>
      <c r="G448" s="4"/>
    </row>
    <row r="449" ht="15.75" customHeight="1">
      <c r="E449" s="4"/>
      <c r="F449" s="4"/>
      <c r="G449" s="4"/>
    </row>
    <row r="450" ht="15.75" customHeight="1">
      <c r="E450" s="4"/>
      <c r="F450" s="4"/>
      <c r="G450" s="4"/>
    </row>
    <row r="451" ht="15.75" customHeight="1">
      <c r="E451" s="4"/>
      <c r="F451" s="4"/>
      <c r="G451" s="4"/>
    </row>
    <row r="452" ht="15.75" customHeight="1">
      <c r="E452" s="4"/>
      <c r="F452" s="4"/>
      <c r="G452" s="4"/>
    </row>
    <row r="453" ht="15.75" customHeight="1">
      <c r="E453" s="4"/>
      <c r="F453" s="4"/>
      <c r="G453" s="4"/>
    </row>
    <row r="454" ht="15.75" customHeight="1">
      <c r="E454" s="4"/>
      <c r="F454" s="4"/>
      <c r="G454" s="4"/>
    </row>
    <row r="455" ht="15.75" customHeight="1">
      <c r="E455" s="4"/>
      <c r="F455" s="4"/>
      <c r="G455" s="4"/>
    </row>
    <row r="456" ht="15.75" customHeight="1">
      <c r="E456" s="4"/>
      <c r="F456" s="4"/>
      <c r="G456" s="4"/>
    </row>
    <row r="457" ht="15.75" customHeight="1">
      <c r="E457" s="4"/>
      <c r="F457" s="4"/>
      <c r="G457" s="4"/>
    </row>
    <row r="458" ht="15.75" customHeight="1">
      <c r="E458" s="4"/>
      <c r="F458" s="4"/>
      <c r="G458" s="4"/>
    </row>
    <row r="459" ht="15.75" customHeight="1">
      <c r="E459" s="4"/>
      <c r="F459" s="4"/>
      <c r="G459" s="4"/>
    </row>
    <row r="460" ht="15.75" customHeight="1">
      <c r="E460" s="4"/>
      <c r="F460" s="4"/>
      <c r="G460" s="4"/>
    </row>
    <row r="461" ht="15.75" customHeight="1">
      <c r="E461" s="4"/>
      <c r="F461" s="4"/>
      <c r="G461" s="4"/>
    </row>
    <row r="462" ht="15.75" customHeight="1">
      <c r="E462" s="4"/>
      <c r="F462" s="4"/>
      <c r="G462" s="4"/>
    </row>
    <row r="463" ht="15.75" customHeight="1">
      <c r="E463" s="4"/>
      <c r="F463" s="4"/>
      <c r="G463" s="4"/>
    </row>
    <row r="464" ht="15.75" customHeight="1">
      <c r="E464" s="4"/>
      <c r="F464" s="4"/>
      <c r="G464" s="4"/>
    </row>
    <row r="465" ht="15.75" customHeight="1">
      <c r="E465" s="4"/>
      <c r="F465" s="4"/>
      <c r="G465" s="4"/>
    </row>
    <row r="466" ht="15.75" customHeight="1">
      <c r="E466" s="4"/>
      <c r="F466" s="4"/>
      <c r="G466" s="4"/>
    </row>
    <row r="467" ht="15.75" customHeight="1">
      <c r="E467" s="4"/>
      <c r="F467" s="4"/>
      <c r="G467" s="4"/>
    </row>
    <row r="468" ht="15.75" customHeight="1">
      <c r="E468" s="4"/>
      <c r="F468" s="4"/>
      <c r="G468" s="4"/>
    </row>
    <row r="469" ht="15.75" customHeight="1">
      <c r="E469" s="4"/>
      <c r="F469" s="4"/>
      <c r="G469" s="4"/>
    </row>
    <row r="470" ht="15.75" customHeight="1">
      <c r="E470" s="4"/>
      <c r="F470" s="4"/>
      <c r="G470" s="4"/>
    </row>
    <row r="471" ht="15.75" customHeight="1">
      <c r="E471" s="4"/>
      <c r="F471" s="4"/>
      <c r="G471" s="4"/>
    </row>
    <row r="472" ht="15.75" customHeight="1">
      <c r="E472" s="4"/>
      <c r="F472" s="4"/>
      <c r="G472" s="4"/>
    </row>
    <row r="473" ht="15.75" customHeight="1">
      <c r="E473" s="4"/>
      <c r="F473" s="4"/>
      <c r="G473" s="4"/>
    </row>
    <row r="474" ht="15.75" customHeight="1">
      <c r="E474" s="4"/>
      <c r="F474" s="4"/>
      <c r="G474" s="4"/>
    </row>
    <row r="475" ht="15.75" customHeight="1">
      <c r="E475" s="4"/>
      <c r="F475" s="4"/>
      <c r="G475" s="4"/>
    </row>
    <row r="476" ht="15.75" customHeight="1">
      <c r="E476" s="4"/>
      <c r="F476" s="4"/>
      <c r="G476" s="4"/>
    </row>
    <row r="477" ht="15.75" customHeight="1">
      <c r="E477" s="4"/>
      <c r="F477" s="4"/>
      <c r="G477" s="4"/>
    </row>
    <row r="478" ht="15.75" customHeight="1">
      <c r="E478" s="4"/>
      <c r="F478" s="4"/>
      <c r="G478" s="4"/>
    </row>
    <row r="479" ht="15.75" customHeight="1">
      <c r="E479" s="4"/>
      <c r="F479" s="4"/>
      <c r="G479" s="4"/>
    </row>
    <row r="480" ht="15.75" customHeight="1">
      <c r="E480" s="4"/>
      <c r="F480" s="4"/>
      <c r="G480" s="4"/>
    </row>
    <row r="481" ht="15.75" customHeight="1">
      <c r="E481" s="4"/>
      <c r="F481" s="4"/>
      <c r="G481" s="4"/>
    </row>
    <row r="482" ht="15.75" customHeight="1">
      <c r="E482" s="4"/>
      <c r="F482" s="4"/>
      <c r="G482" s="4"/>
    </row>
    <row r="483" ht="15.75" customHeight="1">
      <c r="E483" s="4"/>
      <c r="F483" s="4"/>
      <c r="G483" s="4"/>
    </row>
    <row r="484" ht="15.75" customHeight="1">
      <c r="E484" s="4"/>
      <c r="F484" s="4"/>
      <c r="G484" s="4"/>
    </row>
    <row r="485" ht="15.75" customHeight="1">
      <c r="E485" s="4"/>
      <c r="F485" s="4"/>
      <c r="G485" s="4"/>
    </row>
    <row r="486" ht="15.75" customHeight="1">
      <c r="E486" s="4"/>
      <c r="F486" s="4"/>
      <c r="G486" s="4"/>
    </row>
    <row r="487" ht="15.75" customHeight="1">
      <c r="E487" s="4"/>
      <c r="F487" s="4"/>
      <c r="G487" s="4"/>
    </row>
    <row r="488" ht="15.75" customHeight="1">
      <c r="E488" s="4"/>
      <c r="F488" s="4"/>
      <c r="G488" s="4"/>
    </row>
    <row r="489" ht="15.75" customHeight="1">
      <c r="E489" s="4"/>
      <c r="F489" s="4"/>
      <c r="G489" s="4"/>
    </row>
    <row r="490" ht="15.75" customHeight="1">
      <c r="E490" s="4"/>
      <c r="F490" s="4"/>
      <c r="G490" s="4"/>
    </row>
    <row r="491" ht="15.75" customHeight="1">
      <c r="E491" s="4"/>
      <c r="F491" s="4"/>
      <c r="G491" s="4"/>
    </row>
    <row r="492" ht="15.75" customHeight="1">
      <c r="E492" s="4"/>
      <c r="F492" s="4"/>
      <c r="G492" s="4"/>
    </row>
    <row r="493" ht="15.75" customHeight="1">
      <c r="E493" s="4"/>
      <c r="F493" s="4"/>
      <c r="G493" s="4"/>
    </row>
    <row r="494" ht="15.75" customHeight="1">
      <c r="E494" s="4"/>
      <c r="F494" s="4"/>
      <c r="G494" s="4"/>
    </row>
    <row r="495" ht="15.75" customHeight="1">
      <c r="E495" s="4"/>
      <c r="F495" s="4"/>
      <c r="G495" s="4"/>
    </row>
    <row r="496" ht="15.75" customHeight="1">
      <c r="E496" s="4"/>
      <c r="F496" s="4"/>
      <c r="G496" s="4"/>
    </row>
    <row r="497" ht="15.75" customHeight="1">
      <c r="E497" s="4"/>
      <c r="F497" s="4"/>
      <c r="G497" s="4"/>
    </row>
    <row r="498" ht="15.75" customHeight="1">
      <c r="E498" s="4"/>
      <c r="F498" s="4"/>
      <c r="G498" s="4"/>
    </row>
    <row r="499" ht="15.75" customHeight="1">
      <c r="E499" s="4"/>
      <c r="F499" s="4"/>
      <c r="G499" s="4"/>
    </row>
    <row r="500" ht="15.75" customHeight="1">
      <c r="E500" s="4"/>
      <c r="F500" s="4"/>
      <c r="G500" s="4"/>
    </row>
    <row r="501" ht="15.75" customHeight="1">
      <c r="E501" s="4"/>
      <c r="F501" s="4"/>
      <c r="G501" s="4"/>
    </row>
    <row r="502" ht="15.75" customHeight="1">
      <c r="E502" s="4"/>
      <c r="F502" s="4"/>
      <c r="G502" s="4"/>
    </row>
    <row r="503" ht="15.75" customHeight="1">
      <c r="E503" s="4"/>
      <c r="F503" s="4"/>
      <c r="G503" s="4"/>
    </row>
    <row r="504" ht="15.75" customHeight="1">
      <c r="E504" s="4"/>
      <c r="F504" s="4"/>
      <c r="G504" s="4"/>
    </row>
    <row r="505" ht="15.75" customHeight="1">
      <c r="E505" s="4"/>
      <c r="F505" s="4"/>
      <c r="G505" s="4"/>
    </row>
    <row r="506" ht="15.75" customHeight="1">
      <c r="E506" s="4"/>
      <c r="F506" s="4"/>
      <c r="G506" s="4"/>
    </row>
    <row r="507" ht="15.75" customHeight="1">
      <c r="E507" s="4"/>
      <c r="F507" s="4"/>
      <c r="G507" s="4"/>
    </row>
    <row r="508" ht="15.75" customHeight="1">
      <c r="E508" s="4"/>
      <c r="F508" s="4"/>
      <c r="G508" s="4"/>
    </row>
    <row r="509" ht="15.75" customHeight="1">
      <c r="E509" s="4"/>
      <c r="F509" s="4"/>
      <c r="G509" s="4"/>
    </row>
    <row r="510" ht="15.75" customHeight="1">
      <c r="E510" s="4"/>
      <c r="F510" s="4"/>
      <c r="G510" s="4"/>
    </row>
    <row r="511" ht="15.75" customHeight="1">
      <c r="E511" s="4"/>
      <c r="F511" s="4"/>
      <c r="G511" s="4"/>
    </row>
    <row r="512" ht="15.75" customHeight="1">
      <c r="E512" s="4"/>
      <c r="F512" s="4"/>
      <c r="G512" s="4"/>
    </row>
    <row r="513" ht="15.75" customHeight="1">
      <c r="E513" s="4"/>
      <c r="F513" s="4"/>
      <c r="G513" s="4"/>
    </row>
    <row r="514" ht="15.75" customHeight="1">
      <c r="E514" s="4"/>
      <c r="F514" s="4"/>
      <c r="G514" s="4"/>
    </row>
    <row r="515" ht="15.75" customHeight="1">
      <c r="E515" s="4"/>
      <c r="F515" s="4"/>
      <c r="G515" s="4"/>
    </row>
    <row r="516" ht="15.75" customHeight="1">
      <c r="E516" s="4"/>
      <c r="F516" s="4"/>
      <c r="G516" s="4"/>
    </row>
    <row r="517" ht="15.75" customHeight="1">
      <c r="E517" s="4"/>
      <c r="F517" s="4"/>
      <c r="G517" s="4"/>
    </row>
    <row r="518" ht="15.75" customHeight="1">
      <c r="E518" s="4"/>
      <c r="F518" s="4"/>
      <c r="G518" s="4"/>
    </row>
    <row r="519" ht="15.75" customHeight="1">
      <c r="E519" s="4"/>
      <c r="F519" s="4"/>
      <c r="G519" s="4"/>
    </row>
    <row r="520" ht="15.75" customHeight="1">
      <c r="E520" s="4"/>
      <c r="F520" s="4"/>
      <c r="G520" s="4"/>
    </row>
    <row r="521" ht="15.75" customHeight="1">
      <c r="E521" s="4"/>
      <c r="F521" s="4"/>
      <c r="G521" s="4"/>
    </row>
    <row r="522" ht="15.75" customHeight="1">
      <c r="E522" s="4"/>
      <c r="F522" s="4"/>
      <c r="G522" s="4"/>
    </row>
    <row r="523" ht="15.75" customHeight="1">
      <c r="E523" s="4"/>
      <c r="F523" s="4"/>
      <c r="G523" s="4"/>
    </row>
    <row r="524" ht="15.75" customHeight="1">
      <c r="E524" s="4"/>
      <c r="F524" s="4"/>
      <c r="G524" s="4"/>
    </row>
    <row r="525" ht="15.75" customHeight="1">
      <c r="E525" s="4"/>
      <c r="F525" s="4"/>
      <c r="G525" s="4"/>
    </row>
    <row r="526" ht="15.75" customHeight="1">
      <c r="E526" s="4"/>
      <c r="F526" s="4"/>
      <c r="G526" s="4"/>
    </row>
    <row r="527" ht="15.75" customHeight="1">
      <c r="E527" s="4"/>
      <c r="F527" s="4"/>
      <c r="G527" s="4"/>
    </row>
    <row r="528" ht="15.75" customHeight="1">
      <c r="E528" s="4"/>
      <c r="F528" s="4"/>
      <c r="G528" s="4"/>
    </row>
    <row r="529" ht="15.75" customHeight="1">
      <c r="E529" s="4"/>
      <c r="F529" s="4"/>
      <c r="G529" s="4"/>
    </row>
    <row r="530" ht="15.75" customHeight="1">
      <c r="E530" s="4"/>
      <c r="F530" s="4"/>
      <c r="G530" s="4"/>
    </row>
    <row r="531" ht="15.75" customHeight="1">
      <c r="E531" s="4"/>
      <c r="F531" s="4"/>
      <c r="G531" s="4"/>
    </row>
    <row r="532" ht="15.75" customHeight="1">
      <c r="E532" s="4"/>
      <c r="F532" s="4"/>
      <c r="G532" s="4"/>
    </row>
    <row r="533" ht="15.75" customHeight="1">
      <c r="E533" s="4"/>
      <c r="F533" s="4"/>
      <c r="G533" s="4"/>
    </row>
    <row r="534" ht="15.75" customHeight="1">
      <c r="E534" s="4"/>
      <c r="F534" s="4"/>
      <c r="G534" s="4"/>
    </row>
    <row r="535" ht="15.75" customHeight="1">
      <c r="E535" s="4"/>
      <c r="F535" s="4"/>
      <c r="G535" s="4"/>
    </row>
    <row r="536" ht="15.75" customHeight="1">
      <c r="E536" s="4"/>
      <c r="F536" s="4"/>
      <c r="G536" s="4"/>
    </row>
    <row r="537" ht="15.75" customHeight="1">
      <c r="E537" s="4"/>
      <c r="F537" s="4"/>
      <c r="G537" s="4"/>
    </row>
    <row r="538" ht="15.75" customHeight="1">
      <c r="E538" s="4"/>
      <c r="F538" s="4"/>
      <c r="G538" s="4"/>
    </row>
    <row r="539" ht="15.75" customHeight="1">
      <c r="E539" s="4"/>
      <c r="F539" s="4"/>
      <c r="G539" s="4"/>
    </row>
    <row r="540" ht="15.75" customHeight="1">
      <c r="E540" s="4"/>
      <c r="F540" s="4"/>
      <c r="G540" s="4"/>
    </row>
    <row r="541" ht="15.75" customHeight="1">
      <c r="E541" s="4"/>
      <c r="F541" s="4"/>
      <c r="G541" s="4"/>
    </row>
    <row r="542" ht="15.75" customHeight="1">
      <c r="E542" s="4"/>
      <c r="F542" s="4"/>
      <c r="G542" s="4"/>
    </row>
    <row r="543" ht="15.75" customHeight="1">
      <c r="E543" s="4"/>
      <c r="F543" s="4"/>
      <c r="G543" s="4"/>
    </row>
    <row r="544" ht="15.75" customHeight="1">
      <c r="E544" s="4"/>
      <c r="F544" s="4"/>
      <c r="G544" s="4"/>
    </row>
    <row r="545" ht="15.75" customHeight="1">
      <c r="E545" s="4"/>
      <c r="F545" s="4"/>
      <c r="G545" s="4"/>
    </row>
    <row r="546" ht="15.75" customHeight="1">
      <c r="E546" s="4"/>
      <c r="F546" s="4"/>
      <c r="G546" s="4"/>
    </row>
    <row r="547" ht="15.75" customHeight="1">
      <c r="E547" s="4"/>
      <c r="F547" s="4"/>
      <c r="G547" s="4"/>
    </row>
    <row r="548" ht="15.75" customHeight="1">
      <c r="E548" s="4"/>
      <c r="F548" s="4"/>
      <c r="G548" s="4"/>
    </row>
    <row r="549" ht="15.75" customHeight="1">
      <c r="E549" s="4"/>
      <c r="F549" s="4"/>
      <c r="G549" s="4"/>
    </row>
    <row r="550" ht="15.75" customHeight="1">
      <c r="E550" s="4"/>
      <c r="F550" s="4"/>
      <c r="G550" s="4"/>
    </row>
    <row r="551" ht="15.75" customHeight="1">
      <c r="E551" s="4"/>
      <c r="F551" s="4"/>
      <c r="G551" s="4"/>
    </row>
    <row r="552" ht="15.75" customHeight="1">
      <c r="E552" s="4"/>
      <c r="F552" s="4"/>
      <c r="G552" s="4"/>
    </row>
    <row r="553" ht="15.75" customHeight="1">
      <c r="E553" s="4"/>
      <c r="F553" s="4"/>
      <c r="G553" s="4"/>
    </row>
    <row r="554" ht="15.75" customHeight="1">
      <c r="E554" s="4"/>
      <c r="F554" s="4"/>
      <c r="G554" s="4"/>
    </row>
    <row r="555" ht="15.75" customHeight="1">
      <c r="E555" s="4"/>
      <c r="F555" s="4"/>
      <c r="G555" s="4"/>
    </row>
    <row r="556" ht="15.75" customHeight="1">
      <c r="E556" s="4"/>
      <c r="F556" s="4"/>
      <c r="G556" s="4"/>
    </row>
    <row r="557" ht="15.75" customHeight="1">
      <c r="E557" s="4"/>
      <c r="F557" s="4"/>
      <c r="G557" s="4"/>
    </row>
    <row r="558" ht="15.75" customHeight="1">
      <c r="E558" s="4"/>
      <c r="F558" s="4"/>
      <c r="G558" s="4"/>
    </row>
    <row r="559" ht="15.75" customHeight="1">
      <c r="E559" s="4"/>
      <c r="F559" s="4"/>
      <c r="G559" s="4"/>
    </row>
    <row r="560" ht="15.75" customHeight="1">
      <c r="E560" s="4"/>
      <c r="F560" s="4"/>
      <c r="G560" s="4"/>
    </row>
    <row r="561" ht="15.75" customHeight="1">
      <c r="E561" s="4"/>
      <c r="F561" s="4"/>
      <c r="G561" s="4"/>
    </row>
    <row r="562" ht="15.75" customHeight="1">
      <c r="E562" s="4"/>
      <c r="F562" s="4"/>
      <c r="G562" s="4"/>
    </row>
    <row r="563" ht="15.75" customHeight="1">
      <c r="E563" s="4"/>
      <c r="F563" s="4"/>
      <c r="G563" s="4"/>
    </row>
    <row r="564" ht="15.75" customHeight="1">
      <c r="E564" s="4"/>
      <c r="F564" s="4"/>
      <c r="G564" s="4"/>
    </row>
    <row r="565" ht="15.75" customHeight="1">
      <c r="E565" s="4"/>
      <c r="F565" s="4"/>
      <c r="G565" s="4"/>
    </row>
    <row r="566" ht="15.75" customHeight="1">
      <c r="E566" s="4"/>
      <c r="F566" s="4"/>
      <c r="G566" s="4"/>
    </row>
    <row r="567" ht="15.75" customHeight="1">
      <c r="E567" s="4"/>
      <c r="F567" s="4"/>
      <c r="G567" s="4"/>
    </row>
    <row r="568" ht="15.75" customHeight="1">
      <c r="E568" s="4"/>
      <c r="F568" s="4"/>
      <c r="G568" s="4"/>
    </row>
    <row r="569" ht="15.75" customHeight="1">
      <c r="E569" s="4"/>
      <c r="F569" s="4"/>
      <c r="G569" s="4"/>
    </row>
    <row r="570" ht="15.75" customHeight="1">
      <c r="E570" s="4"/>
      <c r="F570" s="4"/>
      <c r="G570" s="4"/>
    </row>
    <row r="571" ht="15.75" customHeight="1">
      <c r="E571" s="4"/>
      <c r="F571" s="4"/>
      <c r="G571" s="4"/>
    </row>
    <row r="572" ht="15.75" customHeight="1">
      <c r="E572" s="4"/>
      <c r="F572" s="4"/>
      <c r="G572" s="4"/>
    </row>
    <row r="573" ht="15.75" customHeight="1">
      <c r="E573" s="4"/>
      <c r="F573" s="4"/>
      <c r="G573" s="4"/>
    </row>
    <row r="574" ht="15.75" customHeight="1">
      <c r="E574" s="4"/>
      <c r="F574" s="4"/>
      <c r="G574" s="4"/>
    </row>
    <row r="575" ht="15.75" customHeight="1">
      <c r="E575" s="4"/>
      <c r="F575" s="4"/>
      <c r="G575" s="4"/>
    </row>
    <row r="576" ht="15.75" customHeight="1">
      <c r="E576" s="4"/>
      <c r="F576" s="4"/>
      <c r="G576" s="4"/>
    </row>
    <row r="577" ht="15.75" customHeight="1">
      <c r="E577" s="4"/>
      <c r="F577" s="4"/>
      <c r="G577" s="4"/>
    </row>
    <row r="578" ht="15.75" customHeight="1">
      <c r="E578" s="4"/>
      <c r="F578" s="4"/>
      <c r="G578" s="4"/>
    </row>
    <row r="579" ht="15.75" customHeight="1">
      <c r="E579" s="4"/>
      <c r="F579" s="4"/>
      <c r="G579" s="4"/>
    </row>
    <row r="580" ht="15.75" customHeight="1">
      <c r="E580" s="4"/>
      <c r="F580" s="4"/>
      <c r="G580" s="4"/>
    </row>
    <row r="581" ht="15.75" customHeight="1">
      <c r="E581" s="4"/>
      <c r="F581" s="4"/>
      <c r="G581" s="4"/>
    </row>
    <row r="582" ht="15.75" customHeight="1">
      <c r="E582" s="4"/>
      <c r="F582" s="4"/>
      <c r="G582" s="4"/>
    </row>
    <row r="583" ht="15.75" customHeight="1">
      <c r="E583" s="4"/>
      <c r="F583" s="4"/>
      <c r="G583" s="4"/>
    </row>
    <row r="584" ht="15.75" customHeight="1">
      <c r="E584" s="4"/>
      <c r="F584" s="4"/>
      <c r="G584" s="4"/>
    </row>
    <row r="585" ht="15.75" customHeight="1">
      <c r="E585" s="4"/>
      <c r="F585" s="4"/>
      <c r="G585" s="4"/>
    </row>
    <row r="586" ht="15.75" customHeight="1">
      <c r="E586" s="4"/>
      <c r="F586" s="4"/>
      <c r="G586" s="4"/>
    </row>
    <row r="587" ht="15.75" customHeight="1">
      <c r="E587" s="4"/>
      <c r="F587" s="4"/>
      <c r="G587" s="4"/>
    </row>
    <row r="588" ht="15.75" customHeight="1">
      <c r="E588" s="4"/>
      <c r="F588" s="4"/>
      <c r="G588" s="4"/>
    </row>
    <row r="589" ht="15.75" customHeight="1">
      <c r="E589" s="4"/>
      <c r="F589" s="4"/>
      <c r="G589" s="4"/>
    </row>
    <row r="590" ht="15.75" customHeight="1">
      <c r="E590" s="4"/>
      <c r="F590" s="4"/>
      <c r="G590" s="4"/>
    </row>
    <row r="591" ht="15.75" customHeight="1">
      <c r="E591" s="4"/>
      <c r="F591" s="4"/>
      <c r="G591" s="4"/>
    </row>
    <row r="592" ht="15.75" customHeight="1">
      <c r="E592" s="4"/>
      <c r="F592" s="4"/>
      <c r="G592" s="4"/>
    </row>
    <row r="593" ht="15.75" customHeight="1">
      <c r="E593" s="4"/>
      <c r="F593" s="4"/>
      <c r="G593" s="4"/>
    </row>
    <row r="594" ht="15.75" customHeight="1">
      <c r="E594" s="4"/>
      <c r="F594" s="4"/>
      <c r="G594" s="4"/>
    </row>
    <row r="595" ht="15.75" customHeight="1">
      <c r="E595" s="4"/>
      <c r="F595" s="4"/>
      <c r="G595" s="4"/>
    </row>
    <row r="596" ht="15.75" customHeight="1">
      <c r="E596" s="4"/>
      <c r="F596" s="4"/>
      <c r="G596" s="4"/>
    </row>
    <row r="597" ht="15.75" customHeight="1">
      <c r="E597" s="4"/>
      <c r="F597" s="4"/>
      <c r="G597" s="4"/>
    </row>
    <row r="598" ht="15.75" customHeight="1">
      <c r="E598" s="4"/>
      <c r="F598" s="4"/>
      <c r="G598" s="4"/>
    </row>
    <row r="599" ht="15.75" customHeight="1">
      <c r="E599" s="4"/>
      <c r="F599" s="4"/>
      <c r="G599" s="4"/>
    </row>
    <row r="600" ht="15.75" customHeight="1">
      <c r="E600" s="4"/>
      <c r="F600" s="4"/>
      <c r="G600" s="4"/>
    </row>
    <row r="601" ht="15.75" customHeight="1">
      <c r="E601" s="4"/>
      <c r="F601" s="4"/>
      <c r="G601" s="4"/>
    </row>
    <row r="602" ht="15.75" customHeight="1">
      <c r="E602" s="4"/>
      <c r="F602" s="4"/>
      <c r="G602" s="4"/>
    </row>
    <row r="603" ht="15.75" customHeight="1">
      <c r="E603" s="4"/>
      <c r="F603" s="4"/>
      <c r="G603" s="4"/>
    </row>
    <row r="604" ht="15.75" customHeight="1">
      <c r="E604" s="4"/>
      <c r="F604" s="4"/>
      <c r="G604" s="4"/>
    </row>
    <row r="605" ht="15.75" customHeight="1">
      <c r="E605" s="4"/>
      <c r="F605" s="4"/>
      <c r="G605" s="4"/>
    </row>
    <row r="606" ht="15.75" customHeight="1">
      <c r="E606" s="4"/>
      <c r="F606" s="4"/>
      <c r="G606" s="4"/>
    </row>
    <row r="607" ht="15.75" customHeight="1">
      <c r="E607" s="4"/>
      <c r="F607" s="4"/>
      <c r="G607" s="4"/>
    </row>
    <row r="608" ht="15.75" customHeight="1">
      <c r="E608" s="4"/>
      <c r="F608" s="4"/>
      <c r="G608" s="4"/>
    </row>
    <row r="609" ht="15.75" customHeight="1">
      <c r="E609" s="4"/>
      <c r="F609" s="4"/>
      <c r="G609" s="4"/>
    </row>
    <row r="610" ht="15.75" customHeight="1">
      <c r="E610" s="4"/>
      <c r="F610" s="4"/>
      <c r="G610" s="4"/>
    </row>
    <row r="611" ht="15.75" customHeight="1">
      <c r="E611" s="4"/>
      <c r="F611" s="4"/>
      <c r="G611" s="4"/>
    </row>
    <row r="612" ht="15.75" customHeight="1">
      <c r="E612" s="4"/>
      <c r="F612" s="4"/>
      <c r="G612" s="4"/>
    </row>
    <row r="613" ht="15.75" customHeight="1">
      <c r="E613" s="4"/>
      <c r="F613" s="4"/>
      <c r="G613" s="4"/>
    </row>
    <row r="614" ht="15.75" customHeight="1">
      <c r="E614" s="4"/>
      <c r="F614" s="4"/>
      <c r="G614" s="4"/>
    </row>
    <row r="615" ht="15.75" customHeight="1">
      <c r="E615" s="4"/>
      <c r="F615" s="4"/>
      <c r="G615" s="4"/>
    </row>
    <row r="616" ht="15.75" customHeight="1">
      <c r="E616" s="4"/>
      <c r="F616" s="4"/>
      <c r="G616" s="4"/>
    </row>
    <row r="617" ht="15.75" customHeight="1">
      <c r="E617" s="4"/>
      <c r="F617" s="4"/>
      <c r="G617" s="4"/>
    </row>
    <row r="618" ht="15.75" customHeight="1">
      <c r="E618" s="4"/>
      <c r="F618" s="4"/>
      <c r="G618" s="4"/>
    </row>
    <row r="619" ht="15.75" customHeight="1">
      <c r="E619" s="4"/>
      <c r="F619" s="4"/>
      <c r="G619" s="4"/>
    </row>
    <row r="620" ht="15.75" customHeight="1">
      <c r="E620" s="4"/>
      <c r="F620" s="4"/>
      <c r="G620" s="4"/>
    </row>
    <row r="621" ht="15.75" customHeight="1">
      <c r="E621" s="4"/>
      <c r="F621" s="4"/>
      <c r="G621" s="4"/>
    </row>
    <row r="622" ht="15.75" customHeight="1">
      <c r="E622" s="4"/>
      <c r="F622" s="4"/>
      <c r="G622" s="4"/>
    </row>
    <row r="623" ht="15.75" customHeight="1">
      <c r="E623" s="4"/>
      <c r="F623" s="4"/>
      <c r="G623" s="4"/>
    </row>
    <row r="624" ht="15.75" customHeight="1">
      <c r="E624" s="4"/>
      <c r="F624" s="4"/>
      <c r="G624" s="4"/>
    </row>
    <row r="625" ht="15.75" customHeight="1">
      <c r="E625" s="4"/>
      <c r="F625" s="4"/>
      <c r="G625" s="4"/>
    </row>
    <row r="626" ht="15.75" customHeight="1">
      <c r="E626" s="4"/>
      <c r="F626" s="4"/>
      <c r="G626" s="4"/>
    </row>
    <row r="627" ht="15.75" customHeight="1">
      <c r="E627" s="4"/>
      <c r="F627" s="4"/>
      <c r="G627" s="4"/>
    </row>
    <row r="628" ht="15.75" customHeight="1">
      <c r="E628" s="4"/>
      <c r="F628" s="4"/>
      <c r="G628" s="4"/>
    </row>
    <row r="629" ht="15.75" customHeight="1">
      <c r="E629" s="4"/>
      <c r="F629" s="4"/>
      <c r="G629" s="4"/>
    </row>
    <row r="630" ht="15.75" customHeight="1">
      <c r="E630" s="4"/>
      <c r="F630" s="4"/>
      <c r="G630" s="4"/>
    </row>
    <row r="631" ht="15.75" customHeight="1">
      <c r="E631" s="4"/>
      <c r="F631" s="4"/>
      <c r="G631" s="4"/>
    </row>
    <row r="632" ht="15.75" customHeight="1">
      <c r="E632" s="4"/>
      <c r="F632" s="4"/>
      <c r="G632" s="4"/>
    </row>
    <row r="633" ht="15.75" customHeight="1">
      <c r="E633" s="4"/>
      <c r="F633" s="4"/>
      <c r="G633" s="4"/>
    </row>
    <row r="634" ht="15.75" customHeight="1">
      <c r="E634" s="4"/>
      <c r="F634" s="4"/>
      <c r="G634" s="4"/>
    </row>
    <row r="635" ht="15.75" customHeight="1">
      <c r="E635" s="4"/>
      <c r="F635" s="4"/>
      <c r="G635" s="4"/>
    </row>
    <row r="636" ht="15.75" customHeight="1">
      <c r="E636" s="4"/>
      <c r="F636" s="4"/>
      <c r="G636" s="4"/>
    </row>
    <row r="637" ht="15.75" customHeight="1">
      <c r="E637" s="4"/>
      <c r="F637" s="4"/>
      <c r="G637" s="4"/>
    </row>
    <row r="638" ht="15.75" customHeight="1">
      <c r="E638" s="4"/>
      <c r="F638" s="4"/>
      <c r="G638" s="4"/>
    </row>
    <row r="639" ht="15.75" customHeight="1">
      <c r="E639" s="4"/>
      <c r="F639" s="4"/>
      <c r="G639" s="4"/>
    </row>
    <row r="640" ht="15.75" customHeight="1">
      <c r="E640" s="4"/>
      <c r="F640" s="4"/>
      <c r="G640" s="4"/>
    </row>
    <row r="641" ht="15.75" customHeight="1">
      <c r="E641" s="4"/>
      <c r="F641" s="4"/>
      <c r="G641" s="4"/>
    </row>
    <row r="642" ht="15.75" customHeight="1">
      <c r="E642" s="4"/>
      <c r="F642" s="4"/>
      <c r="G642" s="4"/>
    </row>
    <row r="643" ht="15.75" customHeight="1">
      <c r="E643" s="4"/>
      <c r="F643" s="4"/>
      <c r="G643" s="4"/>
    </row>
    <row r="644" ht="15.75" customHeight="1">
      <c r="E644" s="4"/>
      <c r="F644" s="4"/>
      <c r="G644" s="4"/>
    </row>
    <row r="645" ht="15.75" customHeight="1">
      <c r="E645" s="4"/>
      <c r="F645" s="4"/>
      <c r="G645" s="4"/>
    </row>
    <row r="646" ht="15.75" customHeight="1">
      <c r="E646" s="4"/>
      <c r="F646" s="4"/>
      <c r="G646" s="4"/>
    </row>
    <row r="647" ht="15.75" customHeight="1">
      <c r="E647" s="4"/>
      <c r="F647" s="4"/>
      <c r="G647" s="4"/>
    </row>
    <row r="648" ht="15.75" customHeight="1">
      <c r="E648" s="4"/>
      <c r="F648" s="4"/>
      <c r="G648" s="4"/>
    </row>
    <row r="649" ht="15.75" customHeight="1">
      <c r="E649" s="4"/>
      <c r="F649" s="4"/>
      <c r="G649" s="4"/>
    </row>
    <row r="650" ht="15.75" customHeight="1">
      <c r="E650" s="4"/>
      <c r="F650" s="4"/>
      <c r="G650" s="4"/>
    </row>
    <row r="651" ht="15.75" customHeight="1">
      <c r="E651" s="4"/>
      <c r="F651" s="4"/>
      <c r="G651" s="4"/>
    </row>
    <row r="652" ht="15.75" customHeight="1">
      <c r="E652" s="4"/>
      <c r="F652" s="4"/>
      <c r="G652" s="4"/>
    </row>
    <row r="653" ht="15.75" customHeight="1">
      <c r="E653" s="4"/>
      <c r="F653" s="4"/>
      <c r="G653" s="4"/>
    </row>
    <row r="654" ht="15.75" customHeight="1">
      <c r="E654" s="4"/>
      <c r="F654" s="4"/>
      <c r="G654" s="4"/>
    </row>
    <row r="655" ht="15.75" customHeight="1">
      <c r="E655" s="4"/>
      <c r="F655" s="4"/>
      <c r="G655" s="4"/>
    </row>
    <row r="656" ht="15.75" customHeight="1">
      <c r="E656" s="4"/>
      <c r="F656" s="4"/>
      <c r="G656" s="4"/>
    </row>
    <row r="657" ht="15.75" customHeight="1">
      <c r="E657" s="4"/>
      <c r="F657" s="4"/>
      <c r="G657" s="4"/>
    </row>
    <row r="658" ht="15.75" customHeight="1">
      <c r="E658" s="4"/>
      <c r="F658" s="4"/>
      <c r="G658" s="4"/>
    </row>
    <row r="659" ht="15.75" customHeight="1">
      <c r="E659" s="4"/>
      <c r="F659" s="4"/>
      <c r="G659" s="4"/>
    </row>
    <row r="660" ht="15.75" customHeight="1">
      <c r="E660" s="4"/>
      <c r="F660" s="4"/>
      <c r="G660" s="4"/>
    </row>
    <row r="661" ht="15.75" customHeight="1">
      <c r="E661" s="4"/>
      <c r="F661" s="4"/>
      <c r="G661" s="4"/>
    </row>
    <row r="662" ht="15.75" customHeight="1">
      <c r="E662" s="4"/>
      <c r="F662" s="4"/>
      <c r="G662" s="4"/>
    </row>
    <row r="663" ht="15.75" customHeight="1">
      <c r="E663" s="4"/>
      <c r="F663" s="4"/>
      <c r="G663" s="4"/>
    </row>
    <row r="664" ht="15.75" customHeight="1">
      <c r="E664" s="4"/>
      <c r="F664" s="4"/>
      <c r="G664" s="4"/>
    </row>
    <row r="665" ht="15.75" customHeight="1">
      <c r="E665" s="4"/>
      <c r="F665" s="4"/>
      <c r="G665" s="4"/>
    </row>
    <row r="666" ht="15.75" customHeight="1">
      <c r="E666" s="4"/>
      <c r="F666" s="4"/>
      <c r="G666" s="4"/>
    </row>
    <row r="667" ht="15.75" customHeight="1">
      <c r="E667" s="4"/>
      <c r="F667" s="4"/>
      <c r="G667" s="4"/>
    </row>
    <row r="668" ht="15.75" customHeight="1">
      <c r="E668" s="4"/>
      <c r="F668" s="4"/>
      <c r="G668" s="4"/>
    </row>
    <row r="669" ht="15.75" customHeight="1">
      <c r="E669" s="4"/>
      <c r="F669" s="4"/>
      <c r="G669" s="4"/>
    </row>
    <row r="670" ht="15.75" customHeight="1">
      <c r="E670" s="4"/>
      <c r="F670" s="4"/>
      <c r="G670" s="4"/>
    </row>
    <row r="671" ht="15.75" customHeight="1">
      <c r="E671" s="4"/>
      <c r="F671" s="4"/>
      <c r="G671" s="4"/>
    </row>
    <row r="672" ht="15.75" customHeight="1">
      <c r="E672" s="4"/>
      <c r="F672" s="4"/>
      <c r="G672" s="4"/>
    </row>
    <row r="673" ht="15.75" customHeight="1">
      <c r="E673" s="4"/>
      <c r="F673" s="4"/>
      <c r="G673" s="4"/>
    </row>
    <row r="674" ht="15.75" customHeight="1">
      <c r="E674" s="4"/>
      <c r="F674" s="4"/>
      <c r="G674" s="4"/>
    </row>
    <row r="675" ht="15.75" customHeight="1">
      <c r="E675" s="4"/>
      <c r="F675" s="4"/>
      <c r="G675" s="4"/>
    </row>
    <row r="676" ht="15.75" customHeight="1">
      <c r="E676" s="4"/>
      <c r="F676" s="4"/>
      <c r="G676" s="4"/>
    </row>
    <row r="677" ht="15.75" customHeight="1">
      <c r="E677" s="4"/>
      <c r="F677" s="4"/>
      <c r="G677" s="4"/>
    </row>
    <row r="678" ht="15.75" customHeight="1">
      <c r="E678" s="4"/>
      <c r="F678" s="4"/>
      <c r="G678" s="4"/>
    </row>
    <row r="679" ht="15.75" customHeight="1">
      <c r="E679" s="4"/>
      <c r="F679" s="4"/>
      <c r="G679" s="4"/>
    </row>
    <row r="680" ht="15.75" customHeight="1">
      <c r="E680" s="4"/>
      <c r="F680" s="4"/>
      <c r="G680" s="4"/>
    </row>
    <row r="681" ht="15.75" customHeight="1">
      <c r="E681" s="4"/>
      <c r="F681" s="4"/>
      <c r="G681" s="4"/>
    </row>
    <row r="682" ht="15.75" customHeight="1">
      <c r="E682" s="4"/>
      <c r="F682" s="4"/>
      <c r="G682" s="4"/>
    </row>
    <row r="683" ht="15.75" customHeight="1">
      <c r="E683" s="4"/>
      <c r="F683" s="4"/>
      <c r="G683" s="4"/>
    </row>
    <row r="684" ht="15.75" customHeight="1">
      <c r="E684" s="4"/>
      <c r="F684" s="4"/>
      <c r="G684" s="4"/>
    </row>
    <row r="685" ht="15.75" customHeight="1">
      <c r="E685" s="4"/>
      <c r="F685" s="4"/>
      <c r="G685" s="4"/>
    </row>
    <row r="686" ht="15.75" customHeight="1">
      <c r="E686" s="4"/>
      <c r="F686" s="4"/>
      <c r="G686" s="4"/>
    </row>
    <row r="687" ht="15.75" customHeight="1">
      <c r="E687" s="4"/>
      <c r="F687" s="4"/>
      <c r="G687" s="4"/>
    </row>
    <row r="688" ht="15.75" customHeight="1">
      <c r="E688" s="4"/>
      <c r="F688" s="4"/>
      <c r="G688" s="4"/>
    </row>
    <row r="689" ht="15.75" customHeight="1">
      <c r="E689" s="4"/>
      <c r="F689" s="4"/>
      <c r="G689" s="4"/>
    </row>
    <row r="690" ht="15.75" customHeight="1">
      <c r="E690" s="4"/>
      <c r="F690" s="4"/>
      <c r="G690" s="4"/>
    </row>
    <row r="691" ht="15.75" customHeight="1">
      <c r="E691" s="4"/>
      <c r="F691" s="4"/>
      <c r="G691" s="4"/>
    </row>
    <row r="692" ht="15.75" customHeight="1">
      <c r="E692" s="4"/>
      <c r="F692" s="4"/>
      <c r="G692" s="4"/>
    </row>
    <row r="693" ht="15.75" customHeight="1">
      <c r="E693" s="4"/>
      <c r="F693" s="4"/>
      <c r="G693" s="4"/>
    </row>
    <row r="694" ht="15.75" customHeight="1">
      <c r="E694" s="4"/>
      <c r="F694" s="4"/>
      <c r="G694" s="4"/>
    </row>
    <row r="695" ht="15.75" customHeight="1">
      <c r="E695" s="4"/>
      <c r="F695" s="4"/>
      <c r="G695" s="4"/>
    </row>
    <row r="696" ht="15.75" customHeight="1">
      <c r="E696" s="4"/>
      <c r="F696" s="4"/>
      <c r="G696" s="4"/>
    </row>
    <row r="697" ht="15.75" customHeight="1">
      <c r="E697" s="4"/>
      <c r="F697" s="4"/>
      <c r="G697" s="4"/>
    </row>
    <row r="698" ht="15.75" customHeight="1">
      <c r="E698" s="4"/>
      <c r="F698" s="4"/>
      <c r="G698" s="4"/>
    </row>
    <row r="699" ht="15.75" customHeight="1">
      <c r="E699" s="4"/>
      <c r="F699" s="4"/>
      <c r="G699" s="4"/>
    </row>
    <row r="700" ht="15.75" customHeight="1">
      <c r="E700" s="4"/>
      <c r="F700" s="4"/>
      <c r="G700" s="4"/>
    </row>
    <row r="701" ht="15.75" customHeight="1">
      <c r="E701" s="4"/>
      <c r="F701" s="4"/>
      <c r="G701" s="4"/>
    </row>
    <row r="702" ht="15.75" customHeight="1">
      <c r="E702" s="4"/>
      <c r="F702" s="4"/>
      <c r="G702" s="4"/>
    </row>
    <row r="703" ht="15.75" customHeight="1">
      <c r="E703" s="4"/>
      <c r="F703" s="4"/>
      <c r="G703" s="4"/>
    </row>
    <row r="704" ht="15.75" customHeight="1">
      <c r="E704" s="4"/>
      <c r="F704" s="4"/>
      <c r="G704" s="4"/>
    </row>
    <row r="705" ht="15.75" customHeight="1">
      <c r="E705" s="4"/>
      <c r="F705" s="4"/>
      <c r="G705" s="4"/>
    </row>
    <row r="706" ht="15.75" customHeight="1">
      <c r="E706" s="4"/>
      <c r="F706" s="4"/>
      <c r="G706" s="4"/>
    </row>
    <row r="707" ht="15.75" customHeight="1">
      <c r="E707" s="4"/>
      <c r="F707" s="4"/>
      <c r="G707" s="4"/>
    </row>
    <row r="708" ht="15.75" customHeight="1">
      <c r="E708" s="4"/>
      <c r="F708" s="4"/>
      <c r="G708" s="4"/>
    </row>
    <row r="709" ht="15.75" customHeight="1">
      <c r="E709" s="4"/>
      <c r="F709" s="4"/>
      <c r="G709" s="4"/>
    </row>
    <row r="710" ht="15.75" customHeight="1">
      <c r="E710" s="4"/>
      <c r="F710" s="4"/>
      <c r="G710" s="4"/>
    </row>
    <row r="711" ht="15.75" customHeight="1">
      <c r="E711" s="4"/>
      <c r="F711" s="4"/>
      <c r="G711" s="4"/>
    </row>
    <row r="712" ht="15.75" customHeight="1">
      <c r="E712" s="4"/>
      <c r="F712" s="4"/>
      <c r="G712" s="4"/>
    </row>
    <row r="713" ht="15.75" customHeight="1">
      <c r="E713" s="4"/>
      <c r="F713" s="4"/>
      <c r="G713" s="4"/>
    </row>
    <row r="714" ht="15.75" customHeight="1">
      <c r="E714" s="4"/>
      <c r="F714" s="4"/>
      <c r="G714" s="4"/>
    </row>
    <row r="715" ht="15.75" customHeight="1">
      <c r="E715" s="4"/>
      <c r="F715" s="4"/>
      <c r="G715" s="4"/>
    </row>
    <row r="716" ht="15.75" customHeight="1">
      <c r="E716" s="4"/>
      <c r="F716" s="4"/>
      <c r="G716" s="4"/>
    </row>
    <row r="717" ht="15.75" customHeight="1">
      <c r="E717" s="4"/>
      <c r="F717" s="4"/>
      <c r="G717" s="4"/>
    </row>
    <row r="718" ht="15.75" customHeight="1">
      <c r="E718" s="4"/>
      <c r="F718" s="4"/>
      <c r="G718" s="4"/>
    </row>
    <row r="719" ht="15.75" customHeight="1">
      <c r="E719" s="4"/>
      <c r="F719" s="4"/>
      <c r="G719" s="4"/>
    </row>
    <row r="720" ht="15.75" customHeight="1">
      <c r="E720" s="4"/>
      <c r="F720" s="4"/>
      <c r="G720" s="4"/>
    </row>
    <row r="721" ht="15.75" customHeight="1">
      <c r="E721" s="4"/>
      <c r="F721" s="4"/>
      <c r="G721" s="4"/>
    </row>
    <row r="722" ht="15.75" customHeight="1">
      <c r="E722" s="4"/>
      <c r="F722" s="4"/>
      <c r="G722" s="4"/>
    </row>
    <row r="723" ht="15.75" customHeight="1">
      <c r="E723" s="4"/>
      <c r="F723" s="4"/>
      <c r="G723" s="4"/>
    </row>
    <row r="724" ht="15.75" customHeight="1">
      <c r="E724" s="4"/>
      <c r="F724" s="4"/>
      <c r="G724" s="4"/>
    </row>
    <row r="725" ht="15.75" customHeight="1">
      <c r="E725" s="4"/>
      <c r="F725" s="4"/>
      <c r="G725" s="4"/>
    </row>
    <row r="726" ht="15.75" customHeight="1">
      <c r="E726" s="4"/>
      <c r="F726" s="4"/>
      <c r="G726" s="4"/>
    </row>
    <row r="727" ht="15.75" customHeight="1">
      <c r="E727" s="4"/>
      <c r="F727" s="4"/>
      <c r="G727" s="4"/>
    </row>
    <row r="728" ht="15.75" customHeight="1">
      <c r="E728" s="4"/>
      <c r="F728" s="4"/>
      <c r="G728" s="4"/>
    </row>
    <row r="729" ht="15.75" customHeight="1">
      <c r="E729" s="4"/>
      <c r="F729" s="4"/>
      <c r="G729" s="4"/>
    </row>
    <row r="730" ht="15.75" customHeight="1">
      <c r="E730" s="4"/>
      <c r="F730" s="4"/>
      <c r="G730" s="4"/>
    </row>
    <row r="731" ht="15.75" customHeight="1">
      <c r="E731" s="4"/>
      <c r="F731" s="4"/>
      <c r="G731" s="4"/>
    </row>
    <row r="732" ht="15.75" customHeight="1">
      <c r="E732" s="4"/>
      <c r="F732" s="4"/>
      <c r="G732" s="4"/>
    </row>
    <row r="733" ht="15.75" customHeight="1">
      <c r="E733" s="4"/>
      <c r="F733" s="4"/>
      <c r="G733" s="4"/>
    </row>
    <row r="734" ht="15.75" customHeight="1">
      <c r="E734" s="4"/>
      <c r="F734" s="4"/>
      <c r="G734" s="4"/>
    </row>
    <row r="735" ht="15.75" customHeight="1">
      <c r="E735" s="4"/>
      <c r="F735" s="4"/>
      <c r="G735" s="4"/>
    </row>
    <row r="736" ht="15.75" customHeight="1">
      <c r="E736" s="4"/>
      <c r="F736" s="4"/>
      <c r="G736" s="4"/>
    </row>
    <row r="737" ht="15.75" customHeight="1">
      <c r="E737" s="4"/>
      <c r="F737" s="4"/>
      <c r="G737" s="4"/>
    </row>
    <row r="738" ht="15.75" customHeight="1">
      <c r="E738" s="4"/>
      <c r="F738" s="4"/>
      <c r="G738" s="4"/>
    </row>
    <row r="739" ht="15.75" customHeight="1">
      <c r="E739" s="4"/>
      <c r="F739" s="4"/>
      <c r="G739" s="4"/>
    </row>
    <row r="740" ht="15.75" customHeight="1">
      <c r="E740" s="4"/>
      <c r="F740" s="4"/>
      <c r="G740" s="4"/>
    </row>
    <row r="741" ht="15.75" customHeight="1">
      <c r="E741" s="4"/>
      <c r="F741" s="4"/>
      <c r="G741" s="4"/>
    </row>
    <row r="742" ht="15.75" customHeight="1">
      <c r="E742" s="4"/>
      <c r="F742" s="4"/>
      <c r="G742" s="4"/>
    </row>
    <row r="743" ht="15.75" customHeight="1">
      <c r="E743" s="4"/>
      <c r="F743" s="4"/>
      <c r="G743" s="4"/>
    </row>
    <row r="744" ht="15.75" customHeight="1">
      <c r="E744" s="4"/>
      <c r="F744" s="4"/>
      <c r="G744" s="4"/>
    </row>
    <row r="745" ht="15.75" customHeight="1">
      <c r="E745" s="4"/>
      <c r="F745" s="4"/>
      <c r="G745" s="4"/>
    </row>
    <row r="746" ht="15.75" customHeight="1">
      <c r="E746" s="4"/>
      <c r="F746" s="4"/>
      <c r="G746" s="4"/>
    </row>
    <row r="747" ht="15.75" customHeight="1">
      <c r="E747" s="4"/>
      <c r="F747" s="4"/>
      <c r="G747" s="4"/>
    </row>
    <row r="748" ht="15.75" customHeight="1">
      <c r="E748" s="4"/>
      <c r="F748" s="4"/>
      <c r="G748" s="4"/>
    </row>
    <row r="749" ht="15.75" customHeight="1">
      <c r="E749" s="4"/>
      <c r="F749" s="4"/>
      <c r="G749" s="4"/>
    </row>
    <row r="750" ht="15.75" customHeight="1">
      <c r="E750" s="4"/>
      <c r="F750" s="4"/>
      <c r="G750" s="4"/>
    </row>
    <row r="751" ht="15.75" customHeight="1">
      <c r="E751" s="4"/>
      <c r="F751" s="4"/>
      <c r="G751" s="4"/>
    </row>
    <row r="752" ht="15.75" customHeight="1">
      <c r="E752" s="4"/>
      <c r="F752" s="4"/>
      <c r="G752" s="4"/>
    </row>
    <row r="753" ht="15.75" customHeight="1">
      <c r="E753" s="4"/>
      <c r="F753" s="4"/>
      <c r="G753" s="4"/>
    </row>
    <row r="754" ht="15.75" customHeight="1">
      <c r="E754" s="4"/>
      <c r="F754" s="4"/>
      <c r="G754" s="4"/>
    </row>
    <row r="755" ht="15.75" customHeight="1">
      <c r="E755" s="4"/>
      <c r="F755" s="4"/>
      <c r="G755" s="4"/>
    </row>
    <row r="756" ht="15.75" customHeight="1">
      <c r="E756" s="4"/>
      <c r="F756" s="4"/>
      <c r="G756" s="4"/>
    </row>
    <row r="757" ht="15.75" customHeight="1">
      <c r="E757" s="4"/>
      <c r="F757" s="4"/>
      <c r="G757" s="4"/>
    </row>
    <row r="758" ht="15.75" customHeight="1">
      <c r="E758" s="4"/>
      <c r="F758" s="4"/>
      <c r="G758" s="4"/>
    </row>
    <row r="759" ht="15.75" customHeight="1">
      <c r="E759" s="4"/>
      <c r="F759" s="4"/>
      <c r="G759" s="4"/>
    </row>
    <row r="760" ht="15.75" customHeight="1">
      <c r="E760" s="4"/>
      <c r="F760" s="4"/>
      <c r="G760" s="4"/>
    </row>
    <row r="761" ht="15.75" customHeight="1">
      <c r="E761" s="4"/>
      <c r="F761" s="4"/>
      <c r="G761" s="4"/>
    </row>
    <row r="762" ht="15.75" customHeight="1">
      <c r="E762" s="4"/>
      <c r="F762" s="4"/>
      <c r="G762" s="4"/>
    </row>
    <row r="763" ht="15.75" customHeight="1">
      <c r="E763" s="4"/>
      <c r="F763" s="4"/>
      <c r="G763" s="4"/>
    </row>
    <row r="764" ht="15.75" customHeight="1">
      <c r="E764" s="4"/>
      <c r="F764" s="4"/>
      <c r="G764" s="4"/>
    </row>
    <row r="765" ht="15.75" customHeight="1">
      <c r="E765" s="4"/>
      <c r="F765" s="4"/>
      <c r="G765" s="4"/>
    </row>
    <row r="766" ht="15.75" customHeight="1">
      <c r="E766" s="4"/>
      <c r="F766" s="4"/>
      <c r="G766" s="4"/>
    </row>
    <row r="767" ht="15.75" customHeight="1">
      <c r="E767" s="4"/>
      <c r="F767" s="4"/>
      <c r="G767" s="4"/>
    </row>
    <row r="768" ht="15.75" customHeight="1">
      <c r="E768" s="4"/>
      <c r="F768" s="4"/>
      <c r="G768" s="4"/>
    </row>
    <row r="769" ht="15.75" customHeight="1">
      <c r="E769" s="4"/>
      <c r="F769" s="4"/>
      <c r="G769" s="4"/>
    </row>
    <row r="770" ht="15.75" customHeight="1">
      <c r="E770" s="4"/>
      <c r="F770" s="4"/>
      <c r="G770" s="4"/>
    </row>
    <row r="771" ht="15.75" customHeight="1">
      <c r="E771" s="4"/>
      <c r="F771" s="4"/>
      <c r="G771" s="4"/>
    </row>
    <row r="772" ht="15.75" customHeight="1">
      <c r="E772" s="4"/>
      <c r="F772" s="4"/>
      <c r="G772" s="4"/>
    </row>
    <row r="773" ht="15.75" customHeight="1">
      <c r="E773" s="4"/>
      <c r="F773" s="4"/>
      <c r="G773" s="4"/>
    </row>
    <row r="774" ht="15.75" customHeight="1">
      <c r="E774" s="4"/>
      <c r="F774" s="4"/>
      <c r="G774" s="4"/>
    </row>
    <row r="775" ht="15.75" customHeight="1">
      <c r="E775" s="4"/>
      <c r="F775" s="4"/>
      <c r="G775" s="4"/>
    </row>
    <row r="776" ht="15.75" customHeight="1">
      <c r="E776" s="4"/>
      <c r="F776" s="4"/>
      <c r="G776" s="4"/>
    </row>
    <row r="777" ht="15.75" customHeight="1">
      <c r="E777" s="4"/>
      <c r="F777" s="4"/>
      <c r="G777" s="4"/>
    </row>
    <row r="778" ht="15.75" customHeight="1">
      <c r="E778" s="4"/>
      <c r="F778" s="4"/>
      <c r="G778" s="4"/>
    </row>
    <row r="779" ht="15.75" customHeight="1">
      <c r="E779" s="4"/>
      <c r="F779" s="4"/>
      <c r="G779" s="4"/>
    </row>
    <row r="780" ht="15.75" customHeight="1">
      <c r="E780" s="4"/>
      <c r="F780" s="4"/>
      <c r="G780" s="4"/>
    </row>
    <row r="781" ht="15.75" customHeight="1">
      <c r="E781" s="4"/>
      <c r="F781" s="4"/>
      <c r="G781" s="4"/>
    </row>
    <row r="782" ht="15.75" customHeight="1">
      <c r="E782" s="4"/>
      <c r="F782" s="4"/>
      <c r="G782" s="4"/>
    </row>
    <row r="783" ht="15.75" customHeight="1">
      <c r="E783" s="4"/>
      <c r="F783" s="4"/>
      <c r="G783" s="4"/>
    </row>
    <row r="784" ht="15.75" customHeight="1">
      <c r="E784" s="4"/>
      <c r="F784" s="4"/>
      <c r="G784" s="4"/>
    </row>
    <row r="785" ht="15.75" customHeight="1">
      <c r="E785" s="4"/>
      <c r="F785" s="4"/>
      <c r="G785" s="4"/>
    </row>
    <row r="786" ht="15.75" customHeight="1">
      <c r="E786" s="4"/>
      <c r="F786" s="4"/>
      <c r="G786" s="4"/>
    </row>
    <row r="787" ht="15.75" customHeight="1">
      <c r="E787" s="4"/>
      <c r="F787" s="4"/>
      <c r="G787" s="4"/>
    </row>
    <row r="788" ht="15.75" customHeight="1">
      <c r="E788" s="4"/>
      <c r="F788" s="4"/>
      <c r="G788" s="4"/>
    </row>
    <row r="789" ht="15.75" customHeight="1">
      <c r="E789" s="4"/>
      <c r="F789" s="4"/>
      <c r="G789" s="4"/>
    </row>
    <row r="790" ht="15.75" customHeight="1">
      <c r="E790" s="4"/>
      <c r="F790" s="4"/>
      <c r="G790" s="4"/>
    </row>
    <row r="791" ht="15.75" customHeight="1">
      <c r="E791" s="4"/>
      <c r="F791" s="4"/>
      <c r="G791" s="4"/>
    </row>
    <row r="792" ht="15.75" customHeight="1">
      <c r="E792" s="4"/>
      <c r="F792" s="4"/>
      <c r="G792" s="4"/>
    </row>
    <row r="793" ht="15.75" customHeight="1">
      <c r="E793" s="4"/>
      <c r="F793" s="4"/>
      <c r="G793" s="4"/>
    </row>
    <row r="794" ht="15.75" customHeight="1">
      <c r="E794" s="4"/>
      <c r="F794" s="4"/>
      <c r="G794" s="4"/>
    </row>
    <row r="795" ht="15.75" customHeight="1">
      <c r="E795" s="4"/>
      <c r="F795" s="4"/>
      <c r="G795" s="4"/>
    </row>
    <row r="796" ht="15.75" customHeight="1">
      <c r="E796" s="4"/>
      <c r="F796" s="4"/>
      <c r="G796" s="4"/>
    </row>
    <row r="797" ht="15.75" customHeight="1">
      <c r="E797" s="4"/>
      <c r="F797" s="4"/>
      <c r="G797" s="4"/>
    </row>
    <row r="798" ht="15.75" customHeight="1">
      <c r="E798" s="4"/>
      <c r="F798" s="4"/>
      <c r="G798" s="4"/>
    </row>
    <row r="799" ht="15.75" customHeight="1">
      <c r="E799" s="4"/>
      <c r="F799" s="4"/>
      <c r="G799" s="4"/>
    </row>
    <row r="800" ht="15.75" customHeight="1">
      <c r="E800" s="4"/>
      <c r="F800" s="4"/>
      <c r="G800" s="4"/>
    </row>
    <row r="801" ht="15.75" customHeight="1">
      <c r="E801" s="4"/>
      <c r="F801" s="4"/>
      <c r="G801" s="4"/>
    </row>
    <row r="802" ht="15.75" customHeight="1">
      <c r="E802" s="4"/>
      <c r="F802" s="4"/>
      <c r="G802" s="4"/>
    </row>
    <row r="803" ht="15.75" customHeight="1">
      <c r="E803" s="4"/>
      <c r="F803" s="4"/>
      <c r="G803" s="4"/>
    </row>
    <row r="804" ht="15.75" customHeight="1">
      <c r="E804" s="4"/>
      <c r="F804" s="4"/>
      <c r="G804" s="4"/>
    </row>
    <row r="805" ht="15.75" customHeight="1">
      <c r="E805" s="4"/>
      <c r="F805" s="4"/>
      <c r="G805" s="4"/>
    </row>
    <row r="806" ht="15.75" customHeight="1">
      <c r="E806" s="4"/>
      <c r="F806" s="4"/>
      <c r="G806" s="4"/>
    </row>
    <row r="807" ht="15.75" customHeight="1">
      <c r="E807" s="4"/>
      <c r="F807" s="4"/>
      <c r="G807" s="4"/>
    </row>
    <row r="808" ht="15.75" customHeight="1">
      <c r="E808" s="4"/>
      <c r="F808" s="4"/>
      <c r="G808" s="4"/>
    </row>
    <row r="809" ht="15.75" customHeight="1">
      <c r="E809" s="4"/>
      <c r="F809" s="4"/>
      <c r="G809" s="4"/>
    </row>
    <row r="810" ht="15.75" customHeight="1">
      <c r="E810" s="4"/>
      <c r="F810" s="4"/>
      <c r="G810" s="4"/>
    </row>
    <row r="811" ht="15.75" customHeight="1">
      <c r="E811" s="4"/>
      <c r="F811" s="4"/>
      <c r="G811" s="4"/>
    </row>
    <row r="812" ht="15.75" customHeight="1">
      <c r="E812" s="4"/>
      <c r="F812" s="4"/>
      <c r="G812" s="4"/>
    </row>
    <row r="813" ht="15.75" customHeight="1">
      <c r="E813" s="4"/>
      <c r="F813" s="4"/>
      <c r="G813" s="4"/>
    </row>
    <row r="814" ht="15.75" customHeight="1">
      <c r="E814" s="4"/>
      <c r="F814" s="4"/>
      <c r="G814" s="4"/>
    </row>
    <row r="815" ht="15.75" customHeight="1">
      <c r="E815" s="4"/>
      <c r="F815" s="4"/>
      <c r="G815" s="4"/>
    </row>
    <row r="816" ht="15.75" customHeight="1">
      <c r="E816" s="4"/>
      <c r="F816" s="4"/>
      <c r="G816" s="4"/>
    </row>
    <row r="817" ht="15.75" customHeight="1">
      <c r="E817" s="4"/>
      <c r="F817" s="4"/>
      <c r="G817" s="4"/>
    </row>
    <row r="818" ht="15.75" customHeight="1">
      <c r="E818" s="4"/>
      <c r="F818" s="4"/>
      <c r="G818" s="4"/>
    </row>
    <row r="819" ht="15.75" customHeight="1">
      <c r="E819" s="4"/>
      <c r="F819" s="4"/>
      <c r="G819" s="4"/>
    </row>
    <row r="820" ht="15.75" customHeight="1">
      <c r="E820" s="4"/>
      <c r="F820" s="4"/>
      <c r="G820" s="4"/>
    </row>
    <row r="821" ht="15.75" customHeight="1">
      <c r="E821" s="4"/>
      <c r="F821" s="4"/>
      <c r="G821" s="4"/>
    </row>
    <row r="822" ht="15.75" customHeight="1">
      <c r="E822" s="4"/>
      <c r="F822" s="4"/>
      <c r="G822" s="4"/>
    </row>
    <row r="823" ht="15.75" customHeight="1">
      <c r="E823" s="4"/>
      <c r="F823" s="4"/>
      <c r="G823" s="4"/>
    </row>
    <row r="824" ht="15.75" customHeight="1">
      <c r="E824" s="4"/>
      <c r="F824" s="4"/>
      <c r="G824" s="4"/>
    </row>
    <row r="825" ht="15.75" customHeight="1">
      <c r="E825" s="4"/>
      <c r="F825" s="4"/>
      <c r="G825" s="4"/>
    </row>
    <row r="826" ht="15.75" customHeight="1">
      <c r="E826" s="4"/>
      <c r="F826" s="4"/>
      <c r="G826" s="4"/>
    </row>
    <row r="827" ht="15.75" customHeight="1">
      <c r="E827" s="4"/>
      <c r="F827" s="4"/>
      <c r="G827" s="4"/>
    </row>
    <row r="828" ht="15.75" customHeight="1">
      <c r="E828" s="4"/>
      <c r="F828" s="4"/>
      <c r="G828" s="4"/>
    </row>
    <row r="829" ht="15.75" customHeight="1">
      <c r="E829" s="4"/>
      <c r="F829" s="4"/>
      <c r="G829" s="4"/>
    </row>
    <row r="830" ht="15.75" customHeight="1">
      <c r="E830" s="4"/>
      <c r="F830" s="4"/>
      <c r="G830" s="4"/>
    </row>
    <row r="831" ht="15.75" customHeight="1">
      <c r="E831" s="4"/>
      <c r="F831" s="4"/>
      <c r="G831" s="4"/>
    </row>
    <row r="832" ht="15.75" customHeight="1">
      <c r="E832" s="4"/>
      <c r="F832" s="4"/>
      <c r="G832" s="4"/>
    </row>
    <row r="833" ht="15.75" customHeight="1">
      <c r="E833" s="4"/>
      <c r="F833" s="4"/>
      <c r="G833" s="4"/>
    </row>
    <row r="834" ht="15.75" customHeight="1">
      <c r="E834" s="4"/>
      <c r="F834" s="4"/>
      <c r="G834" s="4"/>
    </row>
    <row r="835" ht="15.75" customHeight="1">
      <c r="E835" s="4"/>
      <c r="F835" s="4"/>
      <c r="G835" s="4"/>
    </row>
    <row r="836" ht="15.75" customHeight="1">
      <c r="E836" s="4"/>
      <c r="F836" s="4"/>
      <c r="G836" s="4"/>
    </row>
    <row r="837" ht="15.75" customHeight="1">
      <c r="E837" s="4"/>
      <c r="F837" s="4"/>
      <c r="G837" s="4"/>
    </row>
    <row r="838" ht="15.75" customHeight="1">
      <c r="E838" s="4"/>
      <c r="F838" s="4"/>
      <c r="G838" s="4"/>
    </row>
    <row r="839" ht="15.75" customHeight="1">
      <c r="E839" s="4"/>
      <c r="F839" s="4"/>
      <c r="G839" s="4"/>
    </row>
    <row r="840" ht="15.75" customHeight="1">
      <c r="E840" s="4"/>
      <c r="F840" s="4"/>
      <c r="G840" s="4"/>
    </row>
    <row r="841" ht="15.75" customHeight="1">
      <c r="E841" s="4"/>
      <c r="F841" s="4"/>
      <c r="G841" s="4"/>
    </row>
    <row r="842" ht="15.75" customHeight="1">
      <c r="E842" s="4"/>
      <c r="F842" s="4"/>
      <c r="G842" s="4"/>
    </row>
    <row r="843" ht="15.75" customHeight="1">
      <c r="E843" s="4"/>
      <c r="F843" s="4"/>
      <c r="G843" s="4"/>
    </row>
    <row r="844" ht="15.75" customHeight="1">
      <c r="E844" s="4"/>
      <c r="F844" s="4"/>
      <c r="G844" s="4"/>
    </row>
    <row r="845" ht="15.75" customHeight="1">
      <c r="E845" s="4"/>
      <c r="F845" s="4"/>
      <c r="G845" s="4"/>
    </row>
    <row r="846" ht="15.75" customHeight="1">
      <c r="E846" s="4"/>
      <c r="F846" s="4"/>
      <c r="G846" s="4"/>
    </row>
    <row r="847" ht="15.75" customHeight="1">
      <c r="E847" s="4"/>
      <c r="F847" s="4"/>
      <c r="G847" s="4"/>
    </row>
    <row r="848" ht="15.75" customHeight="1">
      <c r="E848" s="4"/>
      <c r="F848" s="4"/>
      <c r="G848" s="4"/>
    </row>
    <row r="849" ht="15.75" customHeight="1">
      <c r="E849" s="4"/>
      <c r="F849" s="4"/>
      <c r="G849" s="4"/>
    </row>
    <row r="850" ht="15.75" customHeight="1">
      <c r="E850" s="4"/>
      <c r="F850" s="4"/>
      <c r="G850" s="4"/>
    </row>
    <row r="851" ht="15.75" customHeight="1">
      <c r="E851" s="4"/>
      <c r="F851" s="4"/>
      <c r="G851" s="4"/>
    </row>
    <row r="852" ht="15.75" customHeight="1">
      <c r="E852" s="4"/>
      <c r="F852" s="4"/>
      <c r="G852" s="4"/>
    </row>
    <row r="853" ht="15.75" customHeight="1">
      <c r="E853" s="4"/>
      <c r="F853" s="4"/>
      <c r="G853" s="4"/>
    </row>
    <row r="854" ht="15.75" customHeight="1">
      <c r="E854" s="4"/>
      <c r="F854" s="4"/>
      <c r="G854" s="4"/>
    </row>
    <row r="855" ht="15.75" customHeight="1">
      <c r="E855" s="4"/>
      <c r="F855" s="4"/>
      <c r="G855" s="4"/>
    </row>
    <row r="856" ht="15.75" customHeight="1">
      <c r="E856" s="4"/>
      <c r="F856" s="4"/>
      <c r="G856" s="4"/>
    </row>
    <row r="857" ht="15.75" customHeight="1">
      <c r="E857" s="4"/>
      <c r="F857" s="4"/>
      <c r="G857" s="4"/>
    </row>
    <row r="858" ht="15.75" customHeight="1">
      <c r="E858" s="4"/>
      <c r="F858" s="4"/>
      <c r="G858" s="4"/>
    </row>
    <row r="859" ht="15.75" customHeight="1">
      <c r="E859" s="4"/>
      <c r="F859" s="4"/>
      <c r="G859" s="4"/>
    </row>
    <row r="860" ht="15.75" customHeight="1">
      <c r="E860" s="4"/>
      <c r="F860" s="4"/>
      <c r="G860" s="4"/>
    </row>
    <row r="861" ht="15.75" customHeight="1">
      <c r="E861" s="4"/>
      <c r="F861" s="4"/>
      <c r="G861" s="4"/>
    </row>
    <row r="862" ht="15.75" customHeight="1">
      <c r="E862" s="4"/>
      <c r="F862" s="4"/>
      <c r="G862" s="4"/>
    </row>
    <row r="863" ht="15.75" customHeight="1">
      <c r="E863" s="4"/>
      <c r="F863" s="4"/>
      <c r="G863" s="4"/>
    </row>
    <row r="864" ht="15.75" customHeight="1">
      <c r="E864" s="4"/>
      <c r="F864" s="4"/>
      <c r="G864" s="4"/>
    </row>
    <row r="865" ht="15.75" customHeight="1">
      <c r="E865" s="4"/>
      <c r="F865" s="4"/>
      <c r="G865" s="4"/>
    </row>
    <row r="866" ht="15.75" customHeight="1">
      <c r="E866" s="4"/>
      <c r="F866" s="4"/>
      <c r="G866" s="4"/>
    </row>
    <row r="867" ht="15.75" customHeight="1">
      <c r="E867" s="4"/>
      <c r="F867" s="4"/>
      <c r="G867" s="4"/>
    </row>
    <row r="868" ht="15.75" customHeight="1">
      <c r="E868" s="4"/>
      <c r="F868" s="4"/>
      <c r="G868" s="4"/>
    </row>
    <row r="869" ht="15.75" customHeight="1">
      <c r="E869" s="4"/>
      <c r="F869" s="4"/>
      <c r="G869" s="4"/>
    </row>
    <row r="870" ht="15.75" customHeight="1">
      <c r="E870" s="4"/>
      <c r="F870" s="4"/>
      <c r="G870" s="4"/>
    </row>
    <row r="871" ht="15.75" customHeight="1">
      <c r="E871" s="4"/>
      <c r="F871" s="4"/>
      <c r="G871" s="4"/>
    </row>
    <row r="872" ht="15.75" customHeight="1">
      <c r="E872" s="4"/>
      <c r="F872" s="4"/>
      <c r="G872" s="4"/>
    </row>
    <row r="873" ht="15.75" customHeight="1">
      <c r="E873" s="4"/>
      <c r="F873" s="4"/>
      <c r="G873" s="4"/>
    </row>
    <row r="874" ht="15.75" customHeight="1">
      <c r="E874" s="4"/>
      <c r="F874" s="4"/>
      <c r="G874" s="4"/>
    </row>
    <row r="875" ht="15.75" customHeight="1">
      <c r="E875" s="4"/>
      <c r="F875" s="4"/>
      <c r="G875" s="4"/>
    </row>
    <row r="876" ht="15.75" customHeight="1">
      <c r="E876" s="4"/>
      <c r="F876" s="4"/>
      <c r="G876" s="4"/>
    </row>
    <row r="877" ht="15.75" customHeight="1">
      <c r="E877" s="4"/>
      <c r="F877" s="4"/>
      <c r="G877" s="4"/>
    </row>
    <row r="878" ht="15.75" customHeight="1">
      <c r="E878" s="4"/>
      <c r="F878" s="4"/>
      <c r="G878" s="4"/>
    </row>
    <row r="879" ht="15.75" customHeight="1">
      <c r="E879" s="4"/>
      <c r="F879" s="4"/>
      <c r="G879" s="4"/>
    </row>
    <row r="880" ht="15.75" customHeight="1">
      <c r="E880" s="4"/>
      <c r="F880" s="4"/>
      <c r="G880" s="4"/>
    </row>
    <row r="881" ht="15.75" customHeight="1">
      <c r="E881" s="4"/>
      <c r="F881" s="4"/>
      <c r="G881" s="4"/>
    </row>
    <row r="882" ht="15.75" customHeight="1">
      <c r="E882" s="4"/>
      <c r="F882" s="4"/>
      <c r="G882" s="4"/>
    </row>
    <row r="883" ht="15.75" customHeight="1">
      <c r="E883" s="4"/>
      <c r="F883" s="4"/>
      <c r="G883" s="4"/>
    </row>
    <row r="884" ht="15.75" customHeight="1">
      <c r="E884" s="4"/>
      <c r="F884" s="4"/>
      <c r="G884" s="4"/>
    </row>
    <row r="885" ht="15.75" customHeight="1">
      <c r="E885" s="4"/>
      <c r="F885" s="4"/>
      <c r="G885" s="4"/>
    </row>
    <row r="886" ht="15.75" customHeight="1">
      <c r="E886" s="4"/>
      <c r="F886" s="4"/>
      <c r="G886" s="4"/>
    </row>
    <row r="887" ht="15.75" customHeight="1">
      <c r="E887" s="4"/>
      <c r="F887" s="4"/>
      <c r="G887" s="4"/>
    </row>
    <row r="888" ht="15.75" customHeight="1">
      <c r="E888" s="4"/>
      <c r="F888" s="4"/>
      <c r="G888" s="4"/>
    </row>
    <row r="889" ht="15.75" customHeight="1">
      <c r="E889" s="4"/>
      <c r="F889" s="4"/>
      <c r="G889" s="4"/>
    </row>
    <row r="890" ht="15.75" customHeight="1">
      <c r="E890" s="4"/>
      <c r="F890" s="4"/>
      <c r="G890" s="4"/>
    </row>
    <row r="891" ht="15.75" customHeight="1">
      <c r="E891" s="4"/>
      <c r="F891" s="4"/>
      <c r="G891" s="4"/>
    </row>
    <row r="892" ht="15.75" customHeight="1">
      <c r="E892" s="4"/>
      <c r="F892" s="4"/>
      <c r="G892" s="4"/>
    </row>
    <row r="893" ht="15.75" customHeight="1">
      <c r="E893" s="4"/>
      <c r="F893" s="4"/>
      <c r="G893" s="4"/>
    </row>
    <row r="894" ht="15.75" customHeight="1">
      <c r="E894" s="4"/>
      <c r="F894" s="4"/>
      <c r="G894" s="4"/>
    </row>
    <row r="895" ht="15.75" customHeight="1">
      <c r="E895" s="4"/>
      <c r="F895" s="4"/>
      <c r="G895" s="4"/>
    </row>
    <row r="896" ht="15.75" customHeight="1">
      <c r="E896" s="4"/>
      <c r="F896" s="4"/>
      <c r="G896" s="4"/>
    </row>
    <row r="897" ht="15.75" customHeight="1">
      <c r="E897" s="4"/>
      <c r="F897" s="4"/>
      <c r="G897" s="4"/>
    </row>
    <row r="898" ht="15.75" customHeight="1">
      <c r="E898" s="4"/>
      <c r="F898" s="4"/>
      <c r="G898" s="4"/>
    </row>
    <row r="899" ht="15.75" customHeight="1">
      <c r="E899" s="4"/>
      <c r="F899" s="4"/>
      <c r="G899" s="4"/>
    </row>
    <row r="900" ht="15.75" customHeight="1">
      <c r="E900" s="4"/>
      <c r="F900" s="4"/>
      <c r="G900" s="4"/>
    </row>
    <row r="901" ht="15.75" customHeight="1">
      <c r="E901" s="4"/>
      <c r="F901" s="4"/>
      <c r="G901" s="4"/>
    </row>
    <row r="902" ht="15.75" customHeight="1">
      <c r="E902" s="4"/>
      <c r="F902" s="4"/>
      <c r="G902" s="4"/>
    </row>
    <row r="903" ht="15.75" customHeight="1">
      <c r="E903" s="4"/>
      <c r="F903" s="4"/>
      <c r="G903" s="4"/>
    </row>
    <row r="904" ht="15.75" customHeight="1">
      <c r="E904" s="4"/>
      <c r="F904" s="4"/>
      <c r="G904" s="4"/>
    </row>
    <row r="905" ht="15.75" customHeight="1">
      <c r="E905" s="4"/>
      <c r="F905" s="4"/>
      <c r="G905" s="4"/>
    </row>
    <row r="906" ht="15.75" customHeight="1">
      <c r="E906" s="4"/>
      <c r="F906" s="4"/>
      <c r="G906" s="4"/>
    </row>
    <row r="907" ht="15.75" customHeight="1">
      <c r="E907" s="4"/>
      <c r="F907" s="4"/>
      <c r="G907" s="4"/>
    </row>
    <row r="908" ht="15.75" customHeight="1">
      <c r="E908" s="4"/>
      <c r="F908" s="4"/>
      <c r="G908" s="4"/>
    </row>
    <row r="909" ht="15.75" customHeight="1">
      <c r="E909" s="4"/>
      <c r="F909" s="4"/>
      <c r="G909" s="4"/>
    </row>
    <row r="910" ht="15.75" customHeight="1">
      <c r="E910" s="4"/>
      <c r="F910" s="4"/>
      <c r="G910" s="4"/>
    </row>
    <row r="911" ht="15.75" customHeight="1">
      <c r="E911" s="4"/>
      <c r="F911" s="4"/>
      <c r="G911" s="4"/>
    </row>
    <row r="912" ht="15.75" customHeight="1">
      <c r="E912" s="4"/>
      <c r="F912" s="4"/>
      <c r="G912" s="4"/>
    </row>
    <row r="913" ht="15.75" customHeight="1">
      <c r="E913" s="4"/>
      <c r="F913" s="4"/>
      <c r="G913" s="4"/>
    </row>
    <row r="914" ht="15.75" customHeight="1">
      <c r="E914" s="4"/>
      <c r="F914" s="4"/>
      <c r="G914" s="4"/>
    </row>
    <row r="915" ht="15.75" customHeight="1">
      <c r="E915" s="4"/>
      <c r="F915" s="4"/>
      <c r="G915" s="4"/>
    </row>
    <row r="916" ht="15.75" customHeight="1">
      <c r="E916" s="4"/>
      <c r="F916" s="4"/>
      <c r="G916" s="4"/>
    </row>
    <row r="917" ht="15.75" customHeight="1">
      <c r="E917" s="4"/>
      <c r="F917" s="4"/>
      <c r="G917" s="4"/>
    </row>
    <row r="918" ht="15.75" customHeight="1">
      <c r="E918" s="4"/>
      <c r="F918" s="4"/>
      <c r="G918" s="4"/>
    </row>
    <row r="919" ht="15.75" customHeight="1">
      <c r="E919" s="4"/>
      <c r="F919" s="4"/>
      <c r="G919" s="4"/>
    </row>
    <row r="920" ht="15.75" customHeight="1">
      <c r="E920" s="4"/>
      <c r="F920" s="4"/>
      <c r="G920" s="4"/>
    </row>
    <row r="921" ht="15.75" customHeight="1">
      <c r="E921" s="4"/>
      <c r="F921" s="4"/>
      <c r="G921" s="4"/>
    </row>
    <row r="922" ht="15.75" customHeight="1">
      <c r="E922" s="4"/>
      <c r="F922" s="4"/>
      <c r="G922" s="4"/>
    </row>
    <row r="923" ht="15.75" customHeight="1">
      <c r="E923" s="4"/>
      <c r="F923" s="4"/>
      <c r="G923" s="4"/>
    </row>
    <row r="924" ht="15.75" customHeight="1">
      <c r="E924" s="4"/>
      <c r="F924" s="4"/>
      <c r="G924" s="4"/>
    </row>
    <row r="925" ht="15.75" customHeight="1">
      <c r="E925" s="4"/>
      <c r="F925" s="4"/>
      <c r="G925" s="4"/>
    </row>
    <row r="926" ht="15.75" customHeight="1">
      <c r="E926" s="4"/>
      <c r="F926" s="4"/>
      <c r="G926" s="4"/>
    </row>
    <row r="927" ht="15.75" customHeight="1">
      <c r="E927" s="4"/>
      <c r="F927" s="4"/>
      <c r="G927" s="4"/>
    </row>
    <row r="928" ht="15.75" customHeight="1">
      <c r="E928" s="4"/>
      <c r="F928" s="4"/>
      <c r="G928" s="4"/>
    </row>
    <row r="929" ht="15.75" customHeight="1">
      <c r="E929" s="4"/>
      <c r="F929" s="4"/>
      <c r="G929" s="4"/>
    </row>
    <row r="930" ht="15.75" customHeight="1">
      <c r="E930" s="4"/>
      <c r="F930" s="4"/>
      <c r="G930" s="4"/>
    </row>
    <row r="931" ht="15.75" customHeight="1">
      <c r="E931" s="4"/>
      <c r="F931" s="4"/>
      <c r="G931" s="4"/>
    </row>
    <row r="932" ht="15.75" customHeight="1">
      <c r="E932" s="4"/>
      <c r="F932" s="4"/>
      <c r="G932" s="4"/>
    </row>
    <row r="933" ht="15.75" customHeight="1">
      <c r="E933" s="4"/>
      <c r="F933" s="4"/>
      <c r="G933" s="4"/>
    </row>
    <row r="934" ht="15.75" customHeight="1">
      <c r="E934" s="4"/>
      <c r="F934" s="4"/>
      <c r="G934" s="4"/>
    </row>
    <row r="935" ht="15.75" customHeight="1">
      <c r="E935" s="4"/>
      <c r="F935" s="4"/>
      <c r="G935" s="4"/>
    </row>
    <row r="936" ht="15.75" customHeight="1">
      <c r="E936" s="4"/>
      <c r="F936" s="4"/>
      <c r="G936" s="4"/>
    </row>
    <row r="937" ht="15.75" customHeight="1">
      <c r="E937" s="4"/>
      <c r="F937" s="4"/>
      <c r="G937" s="4"/>
    </row>
    <row r="938" ht="15.75" customHeight="1">
      <c r="E938" s="4"/>
      <c r="F938" s="4"/>
      <c r="G938" s="4"/>
    </row>
    <row r="939" ht="15.75" customHeight="1">
      <c r="E939" s="4"/>
      <c r="F939" s="4"/>
      <c r="G939" s="4"/>
    </row>
    <row r="940" ht="15.75" customHeight="1">
      <c r="E940" s="4"/>
      <c r="F940" s="4"/>
      <c r="G940" s="4"/>
    </row>
    <row r="941" ht="15.75" customHeight="1">
      <c r="E941" s="4"/>
      <c r="F941" s="4"/>
      <c r="G941" s="4"/>
    </row>
    <row r="942" ht="15.75" customHeight="1">
      <c r="E942" s="4"/>
      <c r="F942" s="4"/>
      <c r="G942" s="4"/>
    </row>
    <row r="943" ht="15.75" customHeight="1">
      <c r="E943" s="4"/>
      <c r="F943" s="4"/>
      <c r="G943" s="4"/>
    </row>
    <row r="944" ht="15.75" customHeight="1">
      <c r="E944" s="4"/>
      <c r="F944" s="4"/>
      <c r="G944" s="4"/>
    </row>
    <row r="945" ht="15.75" customHeight="1">
      <c r="E945" s="4"/>
      <c r="F945" s="4"/>
      <c r="G945" s="4"/>
    </row>
    <row r="946" ht="15.75" customHeight="1">
      <c r="E946" s="4"/>
      <c r="F946" s="4"/>
      <c r="G946" s="4"/>
    </row>
    <row r="947" ht="15.75" customHeight="1">
      <c r="E947" s="4"/>
      <c r="F947" s="4"/>
      <c r="G947" s="4"/>
    </row>
    <row r="948" ht="15.75" customHeight="1">
      <c r="E948" s="4"/>
      <c r="F948" s="4"/>
      <c r="G948" s="4"/>
    </row>
    <row r="949" ht="15.75" customHeight="1">
      <c r="E949" s="4"/>
      <c r="F949" s="4"/>
      <c r="G949" s="4"/>
    </row>
    <row r="950" ht="15.75" customHeight="1">
      <c r="E950" s="4"/>
      <c r="F950" s="4"/>
      <c r="G950" s="4"/>
    </row>
    <row r="951" ht="15.75" customHeight="1">
      <c r="E951" s="4"/>
      <c r="F951" s="4"/>
      <c r="G951" s="4"/>
    </row>
    <row r="952" ht="15.75" customHeight="1">
      <c r="E952" s="4"/>
      <c r="F952" s="4"/>
      <c r="G952" s="4"/>
    </row>
    <row r="953" ht="15.75" customHeight="1">
      <c r="E953" s="4"/>
      <c r="F953" s="4"/>
      <c r="G953" s="4"/>
    </row>
    <row r="954" ht="15.75" customHeight="1">
      <c r="E954" s="4"/>
      <c r="F954" s="4"/>
      <c r="G954" s="4"/>
    </row>
    <row r="955" ht="15.75" customHeight="1">
      <c r="E955" s="4"/>
      <c r="F955" s="4"/>
      <c r="G955" s="4"/>
    </row>
    <row r="956" ht="15.75" customHeight="1">
      <c r="E956" s="4"/>
      <c r="F956" s="4"/>
      <c r="G956" s="4"/>
    </row>
    <row r="957" ht="15.75" customHeight="1">
      <c r="E957" s="4"/>
      <c r="F957" s="4"/>
      <c r="G957" s="4"/>
    </row>
    <row r="958" ht="15.75" customHeight="1">
      <c r="E958" s="4"/>
      <c r="F958" s="4"/>
      <c r="G958" s="4"/>
    </row>
    <row r="959" ht="15.75" customHeight="1">
      <c r="E959" s="4"/>
      <c r="F959" s="4"/>
      <c r="G959" s="4"/>
    </row>
    <row r="960" ht="15.75" customHeight="1">
      <c r="E960" s="4"/>
      <c r="F960" s="4"/>
      <c r="G960" s="4"/>
    </row>
    <row r="961" ht="15.75" customHeight="1">
      <c r="E961" s="4"/>
      <c r="F961" s="4"/>
      <c r="G961" s="4"/>
    </row>
    <row r="962" ht="15.75" customHeight="1">
      <c r="E962" s="4"/>
      <c r="F962" s="4"/>
      <c r="G962" s="4"/>
    </row>
    <row r="963" ht="15.75" customHeight="1">
      <c r="E963" s="4"/>
      <c r="F963" s="4"/>
      <c r="G963" s="4"/>
    </row>
    <row r="964" ht="15.75" customHeight="1">
      <c r="E964" s="4"/>
      <c r="F964" s="4"/>
      <c r="G964" s="4"/>
    </row>
    <row r="965" ht="15.75" customHeight="1">
      <c r="E965" s="4"/>
      <c r="F965" s="4"/>
      <c r="G965" s="4"/>
    </row>
    <row r="966" ht="15.75" customHeight="1">
      <c r="E966" s="4"/>
      <c r="F966" s="4"/>
      <c r="G966" s="4"/>
    </row>
    <row r="967" ht="15.75" customHeight="1">
      <c r="E967" s="4"/>
      <c r="F967" s="4"/>
      <c r="G967" s="4"/>
    </row>
    <row r="968" ht="15.75" customHeight="1">
      <c r="E968" s="4"/>
      <c r="F968" s="4"/>
      <c r="G968" s="4"/>
    </row>
    <row r="969" ht="15.75" customHeight="1">
      <c r="E969" s="4"/>
      <c r="F969" s="4"/>
      <c r="G969" s="4"/>
    </row>
    <row r="970" ht="15.75" customHeight="1">
      <c r="E970" s="4"/>
      <c r="F970" s="4"/>
      <c r="G970" s="4"/>
    </row>
    <row r="971" ht="15.75" customHeight="1">
      <c r="E971" s="4"/>
      <c r="F971" s="4"/>
      <c r="G971" s="4"/>
    </row>
    <row r="972" ht="15.75" customHeight="1">
      <c r="E972" s="4"/>
      <c r="F972" s="4"/>
      <c r="G972" s="4"/>
    </row>
    <row r="973" ht="15.75" customHeight="1">
      <c r="E973" s="4"/>
      <c r="F973" s="4"/>
      <c r="G973" s="4"/>
    </row>
    <row r="974" ht="15.75" customHeight="1">
      <c r="E974" s="4"/>
      <c r="F974" s="4"/>
      <c r="G974" s="4"/>
    </row>
    <row r="975" ht="15.75" customHeight="1">
      <c r="E975" s="4"/>
      <c r="F975" s="4"/>
      <c r="G975" s="4"/>
    </row>
    <row r="976" ht="15.75" customHeight="1">
      <c r="E976" s="4"/>
      <c r="F976" s="4"/>
      <c r="G976" s="4"/>
    </row>
    <row r="977" ht="15.75" customHeight="1">
      <c r="E977" s="4"/>
      <c r="F977" s="4"/>
      <c r="G977" s="4"/>
    </row>
    <row r="978" ht="15.75" customHeight="1">
      <c r="E978" s="4"/>
      <c r="F978" s="4"/>
      <c r="G978" s="4"/>
    </row>
    <row r="979" ht="15.75" customHeight="1">
      <c r="E979" s="4"/>
      <c r="F979" s="4"/>
      <c r="G979" s="4"/>
    </row>
    <row r="980" ht="15.75" customHeight="1">
      <c r="E980" s="4"/>
      <c r="F980" s="4"/>
      <c r="G980" s="4"/>
    </row>
    <row r="981" ht="15.75" customHeight="1">
      <c r="E981" s="4"/>
      <c r="F981" s="4"/>
      <c r="G981" s="4"/>
    </row>
    <row r="982" ht="15.75" customHeight="1">
      <c r="E982" s="4"/>
      <c r="F982" s="4"/>
      <c r="G982" s="4"/>
    </row>
    <row r="983" ht="15.75" customHeight="1">
      <c r="E983" s="4"/>
      <c r="F983" s="4"/>
      <c r="G983" s="4"/>
    </row>
    <row r="984" ht="15.75" customHeight="1">
      <c r="E984" s="4"/>
      <c r="F984" s="4"/>
      <c r="G984" s="4"/>
    </row>
    <row r="985" ht="15.75" customHeight="1">
      <c r="E985" s="4"/>
      <c r="F985" s="4"/>
      <c r="G985" s="4"/>
    </row>
    <row r="986" ht="15.75" customHeight="1">
      <c r="E986" s="4"/>
      <c r="F986" s="4"/>
      <c r="G986" s="4"/>
    </row>
    <row r="987" ht="15.75" customHeight="1">
      <c r="E987" s="4"/>
      <c r="F987" s="4"/>
      <c r="G987" s="4"/>
    </row>
    <row r="988" ht="15.75" customHeight="1">
      <c r="E988" s="4"/>
      <c r="F988" s="4"/>
      <c r="G988" s="4"/>
    </row>
    <row r="989" ht="15.75" customHeight="1">
      <c r="E989" s="4"/>
      <c r="F989" s="4"/>
      <c r="G989" s="4"/>
    </row>
    <row r="990" ht="15.75" customHeight="1">
      <c r="E990" s="4"/>
      <c r="F990" s="4"/>
      <c r="G990" s="4"/>
    </row>
    <row r="991" ht="15.75" customHeight="1">
      <c r="E991" s="4"/>
      <c r="F991" s="4"/>
      <c r="G991" s="4"/>
    </row>
    <row r="992" ht="15.75" customHeight="1">
      <c r="E992" s="4"/>
      <c r="F992" s="4"/>
      <c r="G992" s="4"/>
    </row>
    <row r="993" ht="15.75" customHeight="1">
      <c r="E993" s="4"/>
      <c r="F993" s="4"/>
      <c r="G993" s="4"/>
    </row>
    <row r="994" ht="15.75" customHeight="1">
      <c r="E994" s="4"/>
      <c r="F994" s="4"/>
      <c r="G994" s="4"/>
    </row>
    <row r="995" ht="15.75" customHeight="1">
      <c r="E995" s="4"/>
      <c r="F995" s="4"/>
      <c r="G995" s="4"/>
    </row>
    <row r="996" ht="15.75" customHeight="1">
      <c r="E996" s="4"/>
      <c r="F996" s="4"/>
      <c r="G996" s="4"/>
    </row>
    <row r="997" ht="15.75" customHeight="1">
      <c r="E997" s="4"/>
      <c r="F997" s="4"/>
      <c r="G997" s="4"/>
    </row>
    <row r="998" ht="15.75" customHeight="1">
      <c r="E998" s="4"/>
      <c r="F998" s="4"/>
      <c r="G998" s="4"/>
    </row>
    <row r="999" ht="15.75" customHeight="1">
      <c r="E999" s="4"/>
      <c r="F999" s="4"/>
      <c r="G999" s="4"/>
    </row>
    <row r="1000" ht="15.75" customHeight="1">
      <c r="E1000" s="4"/>
      <c r="F1000" s="4"/>
      <c r="G1000" s="4"/>
    </row>
  </sheetData>
  <hyperlinks>
    <hyperlink r:id="rId1" ref="E5"/>
    <hyperlink r:id="rId2" ref="F5"/>
    <hyperlink r:id="rId3" ref="G5"/>
    <hyperlink r:id="rId4" ref="E6"/>
    <hyperlink r:id="rId5" ref="F6"/>
    <hyperlink r:id="rId6" ref="G6"/>
    <hyperlink r:id="rId7" ref="E7"/>
    <hyperlink r:id="rId8" ref="F7"/>
    <hyperlink r:id="rId9" ref="G7"/>
    <hyperlink r:id="rId10" ref="E8"/>
    <hyperlink r:id="rId11" ref="F8"/>
    <hyperlink r:id="rId12" ref="G8"/>
  </hyperlinks>
  <printOptions/>
  <pageMargins bottom="1.0" footer="0.0" header="0.0" left="0.75" right="0.75" top="1.0"/>
  <pageSetup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0.0"/>
    <col customWidth="1" min="3" max="3" width="24.0"/>
    <col customWidth="1" min="4" max="4" width="10.0"/>
    <col customWidth="1" min="5" max="5" width="34.0"/>
    <col customWidth="1" min="6" max="26" width="8.71"/>
  </cols>
  <sheetData>
    <row r="1">
      <c r="A1" s="7"/>
      <c r="B1" s="9" t="s">
        <v>0</v>
      </c>
      <c r="C1" s="9" t="s">
        <v>60</v>
      </c>
      <c r="D1" s="9" t="s">
        <v>2</v>
      </c>
      <c r="E1" s="9" t="s">
        <v>66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tr">
        <f t="shared" ref="A2:A60" si="1">"Alt. language-locale #" &amp; (ROW(A2) - 1) &amp; ":"</f>
        <v>Alt. language-locale #1:</v>
      </c>
      <c r="B2" s="13" t="s">
        <v>131</v>
      </c>
      <c r="C2" s="11" t="s">
        <v>78</v>
      </c>
      <c r="D2" s="11" t="str">
        <f>IFERROR(VLOOKUP($B$2:$B60,Config!A:B,2,0)&amp;IF(OR($C$2:$C60="No region specified",$C$2:$C60=""),"","-"&amp;VLOOKUP($C$2:$C60,Config!C:D,2,0)),"")</f>
        <v>en-AU</v>
      </c>
      <c r="E2" s="11" t="s">
        <v>183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tr">
        <f t="shared" si="1"/>
        <v>Alt. language-locale #2:</v>
      </c>
      <c r="B3" s="11" t="s">
        <v>131</v>
      </c>
      <c r="C3" s="11" t="s">
        <v>199</v>
      </c>
      <c r="D3" s="11" t="str">
        <f>IFERROR(VLOOKUP($B$2:$B60,Config!A:B,2,0)&amp;IF(OR($C$2:$C60="No region specified",$C$2:$C60=""),"","-"&amp;VLOOKUP($C$2:$C60,Config!C:D,2,0)),"")</f>
        <v>en-NZ</v>
      </c>
      <c r="E3" s="11" t="s">
        <v>233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tr">
        <f t="shared" si="1"/>
        <v>Alt. language-locale #3:</v>
      </c>
      <c r="B4" s="11" t="s">
        <v>246</v>
      </c>
      <c r="C4" s="11" t="s">
        <v>7</v>
      </c>
      <c r="D4" s="11" t="str">
        <f>IFERROR(VLOOKUP($B$2:$B60,Config!A:B,2,0)&amp;IF(OR($C$2:$C60="No region specified",$C$2:$C60=""),"","-"&amp;VLOOKUP($C$2:$C60,Config!C:D,2,0)),"")</f>
        <v>es</v>
      </c>
      <c r="E4" s="13" t="s">
        <v>242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tr">
        <f t="shared" si="1"/>
        <v>Alt. language-locale #4:</v>
      </c>
      <c r="B5" s="11" t="s">
        <v>131</v>
      </c>
      <c r="C5" s="11" t="s">
        <v>327</v>
      </c>
      <c r="D5" s="11" t="str">
        <f>IFERROR(VLOOKUP($B$2:$B60,Config!A:B,2,0)&amp;IF(OR($C$2:$C60="No region specified",$C$2:$C60=""),"","-"&amp;VLOOKUP($C$2:$C60,Config!C:D,2,0)),"")</f>
        <v>en-GB</v>
      </c>
      <c r="E5" s="11" t="s">
        <v>183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tr">
        <f t="shared" si="1"/>
        <v>Alt. language-locale #5:</v>
      </c>
      <c r="B6" s="11" t="s">
        <v>131</v>
      </c>
      <c r="C6" s="11" t="s">
        <v>188</v>
      </c>
      <c r="D6" s="11" t="str">
        <f>IFERROR(VLOOKUP($B$2:$B60,Config!A:B,2,0)&amp;IF(OR($C$2:$C60="No region specified",$C$2:$C60=""),"","-"&amp;VLOOKUP($C$2:$C60,Config!C:D,2,0)),"")</f>
        <v>en-CA</v>
      </c>
      <c r="E6" s="11" t="s">
        <v>183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tr">
        <f t="shared" si="1"/>
        <v>Alt. language-locale #6:</v>
      </c>
      <c r="B7" s="11" t="s">
        <v>131</v>
      </c>
      <c r="C7" s="13" t="s">
        <v>465</v>
      </c>
      <c r="D7" s="11" t="str">
        <f>IFERROR(VLOOKUP($B$2:$B60,Config!A:B,2,0)&amp;IF(OR($C$2:$C60="No region specified",$C$2:$C60=""),"","-"&amp;VLOOKUP($C$2:$C60,Config!C:D,2,0)),"")</f>
        <v>en-US</v>
      </c>
      <c r="E7" s="11" t="s">
        <v>183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tr">
        <f t="shared" si="1"/>
        <v>Alt. language-locale #7:</v>
      </c>
      <c r="B8" s="11"/>
      <c r="C8" s="11"/>
      <c r="D8" s="11" t="str">
        <f>IFERROR(VLOOKUP($B$2:$B60,Config!A:B,2,0)&amp;IF(OR($C$2:$C60="No region specified",$C$2:$C60=""),"","-"&amp;VLOOKUP($C$2:$C60,Config!C:D,2,0)),"")</f>
        <v/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tr">
        <f t="shared" si="1"/>
        <v>Alt. language-locale #8:</v>
      </c>
      <c r="B9" s="11"/>
      <c r="C9" s="11"/>
      <c r="D9" s="11" t="str">
        <f>IFERROR(VLOOKUP($B$2:$B60,Config!A:B,2,0)&amp;IF(OR($C$2:$C60="No region specified",$C$2:$C60=""),"","-"&amp;VLOOKUP($C$2:$C60,Config!C:D,2,0)),"")</f>
        <v/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tr">
        <f t="shared" si="1"/>
        <v>Alt. language-locale #9:</v>
      </c>
      <c r="B10" s="11"/>
      <c r="C10" s="11"/>
      <c r="D10" s="11" t="str">
        <f>IFERROR(VLOOKUP($B$2:$B60,Config!A:B,2,0)&amp;IF(OR($C$2:$C60="No region specified",$C$2:$C60=""),"","-"&amp;VLOOKUP($C$2:$C60,Config!C:D,2,0)),"")</f>
        <v/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tr">
        <f t="shared" si="1"/>
        <v>Alt. language-locale #10:</v>
      </c>
      <c r="B11" s="11"/>
      <c r="C11" s="11"/>
      <c r="D11" s="11" t="str">
        <f>IFERROR(VLOOKUP($B$2:$B60,Config!A:B,2,0)&amp;IF(OR($C$2:$C60="No region specified",$C$2:$C60=""),"","-"&amp;VLOOKUP($C$2:$C60,Config!C:D,2,0)),"")</f>
        <v/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 t="str">
        <f t="shared" si="1"/>
        <v>Alt. language-locale #11:</v>
      </c>
      <c r="B12" s="11"/>
      <c r="C12" s="11"/>
      <c r="D12" s="11" t="str">
        <f>IFERROR(VLOOKUP($B$2:$B60,Config!A:B,2,0)&amp;IF(OR($C$2:$C60="No region specified",$C$2:$C60=""),"","-"&amp;VLOOKUP($C$2:$C60,Config!C:D,2,0)),"")</f>
        <v/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 t="str">
        <f t="shared" si="1"/>
        <v>Alt. language-locale #12:</v>
      </c>
      <c r="B13" s="11"/>
      <c r="C13" s="11"/>
      <c r="D13" s="11" t="str">
        <f>IFERROR(VLOOKUP($B$2:$B60,Config!A:B,2,0)&amp;IF(OR($C$2:$C60="No region specified",$C$2:$C60=""),"","-"&amp;VLOOKUP($C$2:$C60,Config!C:D,2,0)),"")</f>
        <v/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 t="str">
        <f t="shared" si="1"/>
        <v>Alt. language-locale #13:</v>
      </c>
      <c r="B14" s="11"/>
      <c r="C14" s="11"/>
      <c r="D14" s="11" t="str">
        <f>IFERROR(VLOOKUP($B$2:$B60,Config!A:B,2,0)&amp;IF(OR($C$2:$C60="No region specified",$C$2:$C60=""),"","-"&amp;VLOOKUP($C$2:$C60,Config!C:D,2,0)),"")</f>
        <v/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 t="str">
        <f t="shared" si="1"/>
        <v>Alt. language-locale #14:</v>
      </c>
      <c r="B15" s="11"/>
      <c r="C15" s="11"/>
      <c r="D15" s="11" t="str">
        <f>IFERROR(VLOOKUP($B$2:$B60,Config!A:B,2,0)&amp;IF(OR($C$2:$C60="No region specified",$C$2:$C60=""),"","-"&amp;VLOOKUP($C$2:$C60,Config!C:D,2,0)),"")</f>
        <v/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 t="str">
        <f t="shared" si="1"/>
        <v>Alt. language-locale #15:</v>
      </c>
      <c r="B16" s="11"/>
      <c r="C16" s="11"/>
      <c r="D16" s="11" t="str">
        <f>IFERROR(VLOOKUP($B$2:$B60,Config!A:B,2,0)&amp;IF(OR($C$2:$C60="No region specified",$C$2:$C60=""),"","-"&amp;VLOOKUP($C$2:$C60,Config!C:D,2,0)),"")</f>
        <v/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 t="str">
        <f t="shared" si="1"/>
        <v>Alt. language-locale #16:</v>
      </c>
      <c r="B17" s="11"/>
      <c r="C17" s="11"/>
      <c r="D17" s="11" t="str">
        <f>IFERROR(VLOOKUP($B$2:$B60,Config!A:B,2,0)&amp;IF(OR($C$2:$C60="No region specified",$C$2:$C60=""),"","-"&amp;VLOOKUP($C$2:$C60,Config!C:D,2,0)),"")</f>
        <v/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 t="str">
        <f t="shared" si="1"/>
        <v>Alt. language-locale #17:</v>
      </c>
      <c r="B18" s="11"/>
      <c r="C18" s="11"/>
      <c r="D18" s="11" t="str">
        <f>IFERROR(VLOOKUP($B$2:$B60,Config!A:B,2,0)&amp;IF(OR($C$2:$C60="No region specified",$C$2:$C60=""),"","-"&amp;VLOOKUP($C$2:$C60,Config!C:D,2,0)),"")</f>
        <v/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 t="str">
        <f t="shared" si="1"/>
        <v>Alt. language-locale #18:</v>
      </c>
      <c r="B19" s="11"/>
      <c r="C19" s="11"/>
      <c r="D19" s="11" t="str">
        <f>IFERROR(VLOOKUP($B$2:$B60,Config!A:B,2,0)&amp;IF(OR($C$2:$C60="No region specified",$C$2:$C60=""),"","-"&amp;VLOOKUP($C$2:$C60,Config!C:D,2,0)),"")</f>
        <v/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 t="str">
        <f t="shared" si="1"/>
        <v>Alt. language-locale #19:</v>
      </c>
      <c r="B20" s="11"/>
      <c r="C20" s="11"/>
      <c r="D20" s="11" t="str">
        <f>IFERROR(VLOOKUP($B$2:$B60,Config!A:B,2,0)&amp;IF(OR($C$2:$C60="No region specified",$C$2:$C60=""),"","-"&amp;VLOOKUP($C$2:$C60,Config!C:D,2,0)),"")</f>
        <v/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 t="str">
        <f t="shared" si="1"/>
        <v>Alt. language-locale #20:</v>
      </c>
      <c r="B21" s="11"/>
      <c r="C21" s="11"/>
      <c r="D21" s="11" t="str">
        <f>IFERROR(VLOOKUP($B$2:$B60,Config!A:B,2,0)&amp;IF(OR($C$2:$C60="No region specified",$C$2:$C60=""),"","-"&amp;VLOOKUP($C$2:$C60,Config!C:D,2,0)),"")</f>
        <v/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 t="str">
        <f t="shared" si="1"/>
        <v>Alt. language-locale #21:</v>
      </c>
      <c r="B22" s="11"/>
      <c r="C22" s="11"/>
      <c r="D22" s="11" t="str">
        <f>IFERROR(VLOOKUP($B$2:$B60,Config!A:B,2,0)&amp;IF(OR($C$2:$C60="No region specified",$C$2:$C60=""),"","-"&amp;VLOOKUP($C$2:$C60,Config!C:D,2,0)),"")</f>
        <v/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 t="str">
        <f t="shared" si="1"/>
        <v>Alt. language-locale #22:</v>
      </c>
      <c r="B23" s="11"/>
      <c r="C23" s="11"/>
      <c r="D23" s="11" t="str">
        <f>IFERROR(VLOOKUP($B$2:$B60,Config!A:B,2,0)&amp;IF(OR($C$2:$C60="No region specified",$C$2:$C60=""),"","-"&amp;VLOOKUP($C$2:$C60,Config!C:D,2,0)),"")</f>
        <v/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 t="str">
        <f t="shared" si="1"/>
        <v>Alt. language-locale #23:</v>
      </c>
      <c r="B24" s="11"/>
      <c r="C24" s="11"/>
      <c r="D24" s="11" t="str">
        <f>IFERROR(VLOOKUP($B$2:$B60,Config!A:B,2,0)&amp;IF(OR($C$2:$C60="No region specified",$C$2:$C60=""),"","-"&amp;VLOOKUP($C$2:$C60,Config!C:D,2,0)),"")</f>
        <v/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 t="str">
        <f t="shared" si="1"/>
        <v>Alt. language-locale #24:</v>
      </c>
      <c r="B25" s="11"/>
      <c r="C25" s="11"/>
      <c r="D25" s="11" t="str">
        <f>IFERROR(VLOOKUP($B$2:$B60,Config!A:B,2,0)&amp;IF(OR($C$2:$C60="No region specified",$C$2:$C60=""),"","-"&amp;VLOOKUP($C$2:$C60,Config!C:D,2,0)),"")</f>
        <v/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 t="str">
        <f t="shared" si="1"/>
        <v>Alt. language-locale #25:</v>
      </c>
      <c r="B26" s="11"/>
      <c r="C26" s="11"/>
      <c r="D26" s="11" t="str">
        <f>IFERROR(VLOOKUP($B$2:$B60,Config!A:B,2,0)&amp;IF(OR($C$2:$C60="No region specified",$C$2:$C60=""),"","-"&amp;VLOOKUP($C$2:$C60,Config!C:D,2,0)),"")</f>
        <v/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 t="str">
        <f t="shared" si="1"/>
        <v>Alt. language-locale #26:</v>
      </c>
      <c r="B27" s="11"/>
      <c r="C27" s="11"/>
      <c r="D27" s="11" t="str">
        <f>IFERROR(VLOOKUP($B$2:$B60,Config!A:B,2,0)&amp;IF(OR($C$2:$C60="No region specified",$C$2:$C60=""),"","-"&amp;VLOOKUP($C$2:$C60,Config!C:D,2,0)),"")</f>
        <v/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 t="str">
        <f t="shared" si="1"/>
        <v>Alt. language-locale #27:</v>
      </c>
      <c r="B28" s="11"/>
      <c r="C28" s="11"/>
      <c r="D28" s="11" t="str">
        <f>IFERROR(VLOOKUP($B$2:$B60,Config!A:B,2,0)&amp;IF(OR($C$2:$C60="No region specified",$C$2:$C60=""),"","-"&amp;VLOOKUP($C$2:$C60,Config!C:D,2,0)),"")</f>
        <v/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 t="str">
        <f t="shared" si="1"/>
        <v>Alt. language-locale #28:</v>
      </c>
      <c r="B29" s="11"/>
      <c r="C29" s="11"/>
      <c r="D29" s="11" t="str">
        <f>IFERROR(VLOOKUP($B$2:$B60,Config!A:B,2,0)&amp;IF(OR($C$2:$C60="No region specified",$C$2:$C60=""),"","-"&amp;VLOOKUP($C$2:$C60,Config!C:D,2,0)),"")</f>
        <v/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 t="str">
        <f t="shared" si="1"/>
        <v>Alt. language-locale #29:</v>
      </c>
      <c r="B30" s="11"/>
      <c r="C30" s="11"/>
      <c r="D30" s="11" t="str">
        <f>IFERROR(VLOOKUP($B$2:$B60,Config!A:B,2,0)&amp;IF(OR($C$2:$C60="No region specified",$C$2:$C60=""),"","-"&amp;VLOOKUP($C$2:$C60,Config!C:D,2,0)),"")</f>
        <v/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 t="str">
        <f t="shared" si="1"/>
        <v>Alt. language-locale #30:</v>
      </c>
      <c r="B31" s="11"/>
      <c r="C31" s="11"/>
      <c r="D31" s="11" t="str">
        <f>IFERROR(VLOOKUP($B$2:$B60,Config!A:B,2,0)&amp;IF(OR($C$2:$C60="No region specified",$C$2:$C60=""),"","-"&amp;VLOOKUP($C$2:$C60,Config!C:D,2,0)),"")</f>
        <v/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 t="str">
        <f t="shared" si="1"/>
        <v>Alt. language-locale #31:</v>
      </c>
      <c r="B32" s="11"/>
      <c r="C32" s="11"/>
      <c r="D32" s="11" t="str">
        <f>IFERROR(VLOOKUP($B$2:$B60,Config!A:B,2,0)&amp;IF(OR($C$2:$C60="No region specified",$C$2:$C60=""),"","-"&amp;VLOOKUP($C$2:$C60,Config!C:D,2,0)),"")</f>
        <v/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 t="str">
        <f t="shared" si="1"/>
        <v>Alt. language-locale #32:</v>
      </c>
      <c r="B33" s="11"/>
      <c r="C33" s="11"/>
      <c r="D33" s="11" t="str">
        <f>IFERROR(VLOOKUP($B$2:$B60,Config!A:B,2,0)&amp;IF(OR($C$2:$C60="No region specified",$C$2:$C60=""),"","-"&amp;VLOOKUP($C$2:$C60,Config!C:D,2,0)),"")</f>
        <v/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 t="str">
        <f t="shared" si="1"/>
        <v>Alt. language-locale #33:</v>
      </c>
      <c r="B34" s="11"/>
      <c r="C34" s="11"/>
      <c r="D34" s="11" t="str">
        <f>IFERROR(VLOOKUP($B$2:$B60,Config!A:B,2,0)&amp;IF(OR($C$2:$C60="No region specified",$C$2:$C60=""),"","-"&amp;VLOOKUP($C$2:$C60,Config!C:D,2,0)),"")</f>
        <v/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 t="str">
        <f t="shared" si="1"/>
        <v>Alt. language-locale #34:</v>
      </c>
      <c r="B35" s="11"/>
      <c r="C35" s="11"/>
      <c r="D35" s="11" t="str">
        <f>IFERROR(VLOOKUP($B$2:$B60,Config!A:B,2,0)&amp;IF(OR($C$2:$C60="No region specified",$C$2:$C60=""),"","-"&amp;VLOOKUP($C$2:$C60,Config!C:D,2,0)),"")</f>
        <v/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 t="str">
        <f t="shared" si="1"/>
        <v>Alt. language-locale #35:</v>
      </c>
      <c r="B36" s="11"/>
      <c r="C36" s="11"/>
      <c r="D36" s="11" t="str">
        <f>IFERROR(VLOOKUP($B$2:$B60,Config!A:B,2,0)&amp;IF(OR($C$2:$C60="No region specified",$C$2:$C60=""),"","-"&amp;VLOOKUP($C$2:$C60,Config!C:D,2,0)),"")</f>
        <v/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 t="str">
        <f t="shared" si="1"/>
        <v>Alt. language-locale #36:</v>
      </c>
      <c r="B37" s="11"/>
      <c r="C37" s="11"/>
      <c r="D37" s="11" t="str">
        <f>IFERROR(VLOOKUP($B$2:$B60,Config!A:B,2,0)&amp;IF(OR($C$2:$C60="No region specified",$C$2:$C60=""),"","-"&amp;VLOOKUP($C$2:$C60,Config!C:D,2,0)),"")</f>
        <v/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 t="str">
        <f t="shared" si="1"/>
        <v>Alt. language-locale #37:</v>
      </c>
      <c r="B38" s="11"/>
      <c r="C38" s="11"/>
      <c r="D38" s="11" t="str">
        <f>IFERROR(VLOOKUP($B$2:$B60,Config!A:B,2,0)&amp;IF(OR($C$2:$C60="No region specified",$C$2:$C60=""),"","-"&amp;VLOOKUP($C$2:$C60,Config!C:D,2,0)),"")</f>
        <v/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 t="str">
        <f t="shared" si="1"/>
        <v>Alt. language-locale #38:</v>
      </c>
      <c r="B39" s="11"/>
      <c r="C39" s="11"/>
      <c r="D39" s="11" t="str">
        <f>IFERROR(VLOOKUP($B$2:$B60,Config!A:B,2,0)&amp;IF(OR($C$2:$C60="No region specified",$C$2:$C60=""),"","-"&amp;VLOOKUP($C$2:$C60,Config!C:D,2,0)),"")</f>
        <v/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 t="str">
        <f t="shared" si="1"/>
        <v>Alt. language-locale #39:</v>
      </c>
      <c r="B40" s="11"/>
      <c r="C40" s="11"/>
      <c r="D40" s="11" t="str">
        <f>IFERROR(VLOOKUP($B$2:$B60,Config!A:B,2,0)&amp;IF(OR($C$2:$C60="No region specified",$C$2:$C60=""),"","-"&amp;VLOOKUP($C$2:$C60,Config!C:D,2,0)),"")</f>
        <v/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 t="str">
        <f t="shared" si="1"/>
        <v>Alt. language-locale #40:</v>
      </c>
      <c r="B41" s="11"/>
      <c r="C41" s="11"/>
      <c r="D41" s="11" t="str">
        <f>IFERROR(VLOOKUP($B$2:$B60,Config!A:B,2,0)&amp;IF(OR($C$2:$C60="No region specified",$C$2:$C60=""),"","-"&amp;VLOOKUP($C$2:$C60,Config!C:D,2,0)),"")</f>
        <v/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 t="str">
        <f t="shared" si="1"/>
        <v>Alt. language-locale #41:</v>
      </c>
      <c r="B42" s="11"/>
      <c r="C42" s="11"/>
      <c r="D42" s="11" t="str">
        <f>IFERROR(VLOOKUP($B$2:$B60,Config!A:B,2,0)&amp;IF(OR($C$2:$C60="No region specified",$C$2:$C60=""),"","-"&amp;VLOOKUP($C$2:$C60,Config!C:D,2,0)),"")</f>
        <v/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 t="str">
        <f t="shared" si="1"/>
        <v>Alt. language-locale #42:</v>
      </c>
      <c r="B43" s="11"/>
      <c r="C43" s="11"/>
      <c r="D43" s="11" t="str">
        <f>IFERROR(VLOOKUP($B$2:$B60,Config!A:B,2,0)&amp;IF(OR($C$2:$C60="No region specified",$C$2:$C60=""),"","-"&amp;VLOOKUP($C$2:$C60,Config!C:D,2,0)),"")</f>
        <v/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 t="str">
        <f t="shared" si="1"/>
        <v>Alt. language-locale #43:</v>
      </c>
      <c r="B44" s="11"/>
      <c r="C44" s="11"/>
      <c r="D44" s="11" t="str">
        <f>IFERROR(VLOOKUP($B$2:$B60,Config!A:B,2,0)&amp;IF(OR($C$2:$C60="No region specified",$C$2:$C60=""),"","-"&amp;VLOOKUP($C$2:$C60,Config!C:D,2,0)),"")</f>
        <v/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 t="str">
        <f t="shared" si="1"/>
        <v>Alt. language-locale #44:</v>
      </c>
      <c r="B45" s="11"/>
      <c r="C45" s="11"/>
      <c r="D45" s="11" t="str">
        <f>IFERROR(VLOOKUP($B$2:$B60,Config!A:B,2,0)&amp;IF(OR($C$2:$C60="No region specified",$C$2:$C60=""),"","-"&amp;VLOOKUP($C$2:$C60,Config!C:D,2,0)),"")</f>
        <v/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 t="str">
        <f t="shared" si="1"/>
        <v>Alt. language-locale #45:</v>
      </c>
      <c r="B46" s="11"/>
      <c r="C46" s="11"/>
      <c r="D46" s="11" t="str">
        <f>IFERROR(VLOOKUP($B$2:$B60,Config!A:B,2,0)&amp;IF(OR($C$2:$C60="No region specified",$C$2:$C60=""),"","-"&amp;VLOOKUP($C$2:$C60,Config!C:D,2,0)),"")</f>
        <v/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 t="str">
        <f t="shared" si="1"/>
        <v>Alt. language-locale #46:</v>
      </c>
      <c r="B47" s="11"/>
      <c r="C47" s="11"/>
      <c r="D47" s="11" t="str">
        <f>IFERROR(VLOOKUP($B$2:$B60,Config!A:B,2,0)&amp;IF(OR($C$2:$C60="No region specified",$C$2:$C60=""),"","-"&amp;VLOOKUP($C$2:$C60,Config!C:D,2,0)),"")</f>
        <v/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 t="str">
        <f t="shared" si="1"/>
        <v>Alt. language-locale #47:</v>
      </c>
      <c r="B48" s="11"/>
      <c r="C48" s="11"/>
      <c r="D48" s="11" t="str">
        <f>IFERROR(VLOOKUP($B$2:$B60,Config!A:B,2,0)&amp;IF(OR($C$2:$C60="No region specified",$C$2:$C60=""),"","-"&amp;VLOOKUP($C$2:$C60,Config!C:D,2,0)),"")</f>
        <v/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 t="str">
        <f t="shared" si="1"/>
        <v>Alt. language-locale #48:</v>
      </c>
      <c r="B49" s="11"/>
      <c r="C49" s="11"/>
      <c r="D49" s="11" t="str">
        <f>IFERROR(VLOOKUP($B$2:$B60,Config!A:B,2,0)&amp;IF(OR($C$2:$C60="No region specified",$C$2:$C60=""),"","-"&amp;VLOOKUP($C$2:$C60,Config!C:D,2,0)),"")</f>
        <v/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 t="str">
        <f t="shared" si="1"/>
        <v>Alt. language-locale #49:</v>
      </c>
      <c r="B50" s="11"/>
      <c r="C50" s="11"/>
      <c r="D50" s="11" t="str">
        <f>IFERROR(VLOOKUP($B$2:$B60,Config!A:B,2,0)&amp;IF(OR($C$2:$C60="No region specified",$C$2:$C60=""),"","-"&amp;VLOOKUP($C$2:$C60,Config!C:D,2,0)),"")</f>
        <v/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 t="str">
        <f t="shared" si="1"/>
        <v>Alt. language-locale #50:</v>
      </c>
      <c r="B51" s="11"/>
      <c r="C51" s="11"/>
      <c r="D51" s="11" t="str">
        <f>IFERROR(VLOOKUP($B$2:$B60,Config!A:B,2,0)&amp;IF(OR($C$2:$C60="No region specified",$C$2:$C60=""),"","-"&amp;VLOOKUP($C$2:$C60,Config!C:D,2,0)),"")</f>
        <v/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 t="str">
        <f t="shared" si="1"/>
        <v>Alt. language-locale #51:</v>
      </c>
      <c r="B52" s="11"/>
      <c r="C52" s="11"/>
      <c r="D52" s="11" t="str">
        <f>IFERROR(VLOOKUP($B$2:$B60,Config!A:B,2,0)&amp;IF(OR($C$2:$C60="No region specified",$C$2:$C60=""),"","-"&amp;VLOOKUP($C$2:$C60,Config!C:D,2,0)),"")</f>
        <v/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 t="str">
        <f t="shared" si="1"/>
        <v>Alt. language-locale #52:</v>
      </c>
      <c r="B53" s="11"/>
      <c r="C53" s="11"/>
      <c r="D53" s="11" t="str">
        <f>IFERROR(VLOOKUP($B$2:$B60,Config!A:B,2,0)&amp;IF(OR($C$2:$C60="No region specified",$C$2:$C60=""),"","-"&amp;VLOOKUP($C$2:$C60,Config!C:D,2,0)),"")</f>
        <v/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 t="str">
        <f t="shared" si="1"/>
        <v>Alt. language-locale #53:</v>
      </c>
      <c r="B54" s="11"/>
      <c r="C54" s="11"/>
      <c r="D54" s="11" t="str">
        <f>IFERROR(VLOOKUP($B$2:$B60,Config!A:B,2,0)&amp;IF(OR($C$2:$C60="No region specified",$C$2:$C60=""),"","-"&amp;VLOOKUP($C$2:$C60,Config!C:D,2,0)),"")</f>
        <v/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 t="str">
        <f t="shared" si="1"/>
        <v>Alt. language-locale #54:</v>
      </c>
      <c r="B55" s="11"/>
      <c r="C55" s="11"/>
      <c r="D55" s="11" t="str">
        <f>IFERROR(VLOOKUP($B$2:$B60,Config!A:B,2,0)&amp;IF(OR($C$2:$C60="No region specified",$C$2:$C60=""),"","-"&amp;VLOOKUP($C$2:$C60,Config!C:D,2,0)),"")</f>
        <v/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 t="str">
        <f t="shared" si="1"/>
        <v>Alt. language-locale #55:</v>
      </c>
      <c r="B56" s="11"/>
      <c r="C56" s="11"/>
      <c r="D56" s="11" t="str">
        <f>IFERROR(VLOOKUP($B$2:$B60,Config!A:B,2,0)&amp;IF(OR($C$2:$C60="No region specified",$C$2:$C60=""),"","-"&amp;VLOOKUP($C$2:$C60,Config!C:D,2,0)),"")</f>
        <v/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 t="str">
        <f t="shared" si="1"/>
        <v>Alt. language-locale #56:</v>
      </c>
      <c r="B57" s="11"/>
      <c r="C57" s="11"/>
      <c r="D57" s="11" t="str">
        <f>IFERROR(VLOOKUP($B$2:$B60,Config!A:B,2,0)&amp;IF(OR($C$2:$C60="No region specified",$C$2:$C60=""),"","-"&amp;VLOOKUP($C$2:$C60,Config!C:D,2,0)),"")</f>
        <v/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 t="str">
        <f t="shared" si="1"/>
        <v>Alt. language-locale #57:</v>
      </c>
      <c r="B58" s="11"/>
      <c r="C58" s="11"/>
      <c r="D58" s="11" t="str">
        <f>IFERROR(VLOOKUP($B$2:$B60,Config!A:B,2,0)&amp;IF(OR($C$2:$C60="No region specified",$C$2:$C60=""),"","-"&amp;VLOOKUP($C$2:$C60,Config!C:D,2,0)),"")</f>
        <v/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 t="str">
        <f t="shared" si="1"/>
        <v>Alt. language-locale #58:</v>
      </c>
      <c r="B59" s="11"/>
      <c r="C59" s="11"/>
      <c r="D59" s="11" t="str">
        <f>IFERROR(VLOOKUP($B$2:$B60,Config!A:B,2,0)&amp;IF(OR($C$2:$C60="No region specified",$C$2:$C60=""),"","-"&amp;VLOOKUP($C$2:$C60,Config!C:D,2,0)),"")</f>
        <v/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 t="str">
        <f t="shared" si="1"/>
        <v>Alt. language-locale #59:</v>
      </c>
      <c r="B60" s="11"/>
      <c r="C60" s="11"/>
      <c r="D60" s="11" t="str">
        <f>IFERROR(VLOOKUP($B$2:$B60,Config!A:B,2,0)&amp;IF(OR($C$2:$C60="No region specified",$C$2:$C60=""),"","-"&amp;VLOOKUP($C$2:$C60,Config!C:D,2,0)),"")</f>
        <v/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>
    <dataValidation type="list" allowBlank="1" sqref="C2:C1000">
      <formula1>Config!$C$2:$C1000</formula1>
    </dataValidation>
    <dataValidation type="list" allowBlank="1" sqref="B2:B1000">
      <formula1>Config!$A$2:$A1000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2</v>
      </c>
    </row>
    <row r="2">
      <c r="A2" s="4" t="s">
        <v>4</v>
      </c>
      <c r="B2" s="4" t="s">
        <v>6</v>
      </c>
      <c r="C2" s="4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</row>
    <row r="4">
      <c r="A4" s="4" t="s">
        <v>13</v>
      </c>
      <c r="B4" s="4" t="s">
        <v>14</v>
      </c>
      <c r="C4" s="4" t="s">
        <v>15</v>
      </c>
      <c r="D4" s="4" t="s">
        <v>16</v>
      </c>
    </row>
    <row r="5">
      <c r="A5" s="4" t="s">
        <v>17</v>
      </c>
      <c r="B5" s="4" t="s">
        <v>18</v>
      </c>
      <c r="C5" s="4" t="s">
        <v>20</v>
      </c>
      <c r="D5" s="4" t="s">
        <v>21</v>
      </c>
    </row>
    <row r="6">
      <c r="A6" s="4" t="s">
        <v>23</v>
      </c>
      <c r="B6" s="4" t="s">
        <v>24</v>
      </c>
      <c r="C6" s="4" t="s">
        <v>26</v>
      </c>
      <c r="D6" s="4" t="s">
        <v>27</v>
      </c>
    </row>
    <row r="7">
      <c r="A7" s="4" t="s">
        <v>29</v>
      </c>
      <c r="B7" s="4" t="s">
        <v>30</v>
      </c>
      <c r="C7" s="4" t="s">
        <v>31</v>
      </c>
      <c r="D7" s="4" t="s">
        <v>32</v>
      </c>
    </row>
    <row r="8">
      <c r="A8" s="4" t="s">
        <v>33</v>
      </c>
      <c r="B8" s="4" t="s">
        <v>34</v>
      </c>
      <c r="C8" s="4" t="s">
        <v>35</v>
      </c>
      <c r="D8" s="4" t="s">
        <v>37</v>
      </c>
    </row>
    <row r="9">
      <c r="A9" s="4" t="s">
        <v>38</v>
      </c>
      <c r="B9" s="4" t="s">
        <v>39</v>
      </c>
      <c r="C9" s="4" t="s">
        <v>40</v>
      </c>
      <c r="D9" s="4" t="s">
        <v>41</v>
      </c>
    </row>
    <row r="10">
      <c r="A10" s="4" t="s">
        <v>42</v>
      </c>
      <c r="B10" s="4" t="s">
        <v>43</v>
      </c>
      <c r="C10" s="4" t="s">
        <v>44</v>
      </c>
      <c r="D10" s="4" t="s">
        <v>45</v>
      </c>
    </row>
    <row r="11">
      <c r="A11" s="4" t="s">
        <v>46</v>
      </c>
      <c r="B11" s="4" t="s">
        <v>47</v>
      </c>
      <c r="C11" s="4" t="s">
        <v>48</v>
      </c>
      <c r="D11" s="4" t="s">
        <v>49</v>
      </c>
    </row>
    <row r="12">
      <c r="A12" s="4" t="s">
        <v>50</v>
      </c>
      <c r="B12" s="4" t="s">
        <v>51</v>
      </c>
      <c r="C12" s="4" t="s">
        <v>52</v>
      </c>
      <c r="D12" s="4" t="s">
        <v>53</v>
      </c>
    </row>
    <row r="13">
      <c r="A13" s="4" t="s">
        <v>54</v>
      </c>
      <c r="B13" s="4" t="s">
        <v>55</v>
      </c>
      <c r="C13" s="4" t="s">
        <v>57</v>
      </c>
      <c r="D13" s="4" t="s">
        <v>58</v>
      </c>
    </row>
    <row r="14">
      <c r="A14" s="4" t="s">
        <v>61</v>
      </c>
      <c r="B14" s="4" t="s">
        <v>62</v>
      </c>
      <c r="C14" s="4" t="s">
        <v>63</v>
      </c>
      <c r="D14" s="4" t="s">
        <v>65</v>
      </c>
    </row>
    <row r="15">
      <c r="A15" s="4" t="s">
        <v>69</v>
      </c>
      <c r="B15" s="4" t="s">
        <v>72</v>
      </c>
      <c r="C15" s="4" t="s">
        <v>73</v>
      </c>
      <c r="D15" s="4" t="s">
        <v>74</v>
      </c>
    </row>
    <row r="16">
      <c r="A16" s="4" t="s">
        <v>75</v>
      </c>
      <c r="B16" s="4" t="s">
        <v>77</v>
      </c>
      <c r="C16" s="4" t="s">
        <v>78</v>
      </c>
      <c r="D16" s="4" t="s">
        <v>79</v>
      </c>
    </row>
    <row r="17">
      <c r="A17" s="4" t="s">
        <v>81</v>
      </c>
      <c r="B17" s="4" t="s">
        <v>83</v>
      </c>
      <c r="C17" s="4" t="s">
        <v>84</v>
      </c>
      <c r="D17" s="4" t="s">
        <v>86</v>
      </c>
    </row>
    <row r="18">
      <c r="A18" s="4" t="s">
        <v>87</v>
      </c>
      <c r="B18" s="4" t="s">
        <v>88</v>
      </c>
      <c r="C18" s="4" t="s">
        <v>90</v>
      </c>
      <c r="D18" s="4" t="s">
        <v>91</v>
      </c>
    </row>
    <row r="19">
      <c r="A19" s="4" t="s">
        <v>92</v>
      </c>
      <c r="B19" s="4" t="s">
        <v>93</v>
      </c>
      <c r="C19" s="4" t="s">
        <v>94</v>
      </c>
      <c r="D19" s="4" t="s">
        <v>95</v>
      </c>
    </row>
    <row r="20">
      <c r="A20" s="4" t="s">
        <v>97</v>
      </c>
      <c r="B20" s="4" t="s">
        <v>98</v>
      </c>
      <c r="C20" s="4" t="s">
        <v>99</v>
      </c>
      <c r="D20" s="4" t="s">
        <v>100</v>
      </c>
    </row>
    <row r="21" ht="15.75" customHeight="1">
      <c r="A21" s="4" t="s">
        <v>101</v>
      </c>
      <c r="B21" s="4" t="s">
        <v>102</v>
      </c>
      <c r="C21" s="4" t="s">
        <v>103</v>
      </c>
      <c r="D21" s="4" t="s">
        <v>104</v>
      </c>
    </row>
    <row r="22" ht="15.75" customHeight="1">
      <c r="A22" s="4" t="s">
        <v>105</v>
      </c>
      <c r="B22" s="4" t="s">
        <v>106</v>
      </c>
      <c r="C22" s="4" t="s">
        <v>107</v>
      </c>
      <c r="D22" s="4" t="s">
        <v>108</v>
      </c>
    </row>
    <row r="23" ht="15.75" customHeight="1">
      <c r="A23" s="4" t="s">
        <v>109</v>
      </c>
      <c r="B23" s="4" t="s">
        <v>110</v>
      </c>
      <c r="C23" s="4" t="s">
        <v>111</v>
      </c>
      <c r="D23" s="4" t="s">
        <v>112</v>
      </c>
    </row>
    <row r="24" ht="15.75" customHeight="1">
      <c r="A24" s="4" t="s">
        <v>113</v>
      </c>
      <c r="B24" s="4" t="s">
        <v>114</v>
      </c>
      <c r="C24" s="4" t="s">
        <v>115</v>
      </c>
      <c r="D24" s="4" t="s">
        <v>116</v>
      </c>
    </row>
    <row r="25" ht="15.75" customHeight="1">
      <c r="A25" s="4" t="s">
        <v>117</v>
      </c>
      <c r="B25" s="4" t="s">
        <v>118</v>
      </c>
      <c r="C25" s="4" t="s">
        <v>119</v>
      </c>
      <c r="D25" s="4" t="s">
        <v>120</v>
      </c>
    </row>
    <row r="26" ht="15.75" customHeight="1">
      <c r="A26" s="4" t="s">
        <v>121</v>
      </c>
      <c r="B26" s="4" t="s">
        <v>122</v>
      </c>
      <c r="C26" s="4" t="s">
        <v>123</v>
      </c>
      <c r="D26" s="4" t="s">
        <v>124</v>
      </c>
    </row>
    <row r="27" ht="15.75" customHeight="1">
      <c r="A27" s="4" t="s">
        <v>125</v>
      </c>
      <c r="B27" s="4" t="s">
        <v>126</v>
      </c>
      <c r="C27" s="4" t="s">
        <v>127</v>
      </c>
      <c r="D27" s="4" t="s">
        <v>128</v>
      </c>
    </row>
    <row r="28" ht="15.75" customHeight="1">
      <c r="A28" s="4" t="s">
        <v>129</v>
      </c>
      <c r="B28" s="4" t="s">
        <v>130</v>
      </c>
      <c r="C28" s="4" t="s">
        <v>132</v>
      </c>
      <c r="D28" s="4" t="s">
        <v>133</v>
      </c>
    </row>
    <row r="29" ht="15.75" customHeight="1">
      <c r="A29" s="4" t="s">
        <v>134</v>
      </c>
      <c r="B29" s="4" t="s">
        <v>135</v>
      </c>
      <c r="C29" s="4" t="s">
        <v>136</v>
      </c>
      <c r="D29" s="4" t="s">
        <v>137</v>
      </c>
    </row>
    <row r="30" ht="15.75" customHeight="1">
      <c r="A30" s="4" t="s">
        <v>138</v>
      </c>
      <c r="B30" s="4" t="s">
        <v>139</v>
      </c>
      <c r="C30" s="4" t="s">
        <v>140</v>
      </c>
      <c r="D30" s="4" t="s">
        <v>141</v>
      </c>
    </row>
    <row r="31" ht="15.75" customHeight="1">
      <c r="A31" s="4" t="s">
        <v>142</v>
      </c>
      <c r="B31" s="4" t="s">
        <v>143</v>
      </c>
      <c r="C31" s="4" t="s">
        <v>144</v>
      </c>
      <c r="D31" s="4" t="s">
        <v>145</v>
      </c>
    </row>
    <row r="32" ht="15.75" customHeight="1">
      <c r="A32" s="4" t="s">
        <v>146</v>
      </c>
      <c r="B32" s="4" t="s">
        <v>147</v>
      </c>
      <c r="C32" s="4" t="s">
        <v>148</v>
      </c>
      <c r="D32" s="4" t="s">
        <v>149</v>
      </c>
    </row>
    <row r="33" ht="15.75" customHeight="1">
      <c r="A33" s="4" t="s">
        <v>150</v>
      </c>
      <c r="B33" s="4" t="s">
        <v>151</v>
      </c>
      <c r="C33" s="4" t="s">
        <v>152</v>
      </c>
      <c r="D33" s="4" t="s">
        <v>153</v>
      </c>
    </row>
    <row r="34" ht="15.75" customHeight="1">
      <c r="A34" s="4" t="s">
        <v>154</v>
      </c>
      <c r="B34" s="4" t="s">
        <v>155</v>
      </c>
      <c r="C34" s="4" t="s">
        <v>156</v>
      </c>
      <c r="D34" s="4" t="s">
        <v>157</v>
      </c>
    </row>
    <row r="35" ht="15.75" customHeight="1">
      <c r="A35" s="4" t="s">
        <v>158</v>
      </c>
      <c r="B35" s="4" t="s">
        <v>159</v>
      </c>
      <c r="C35" s="4" t="s">
        <v>160</v>
      </c>
      <c r="D35" s="4" t="s">
        <v>161</v>
      </c>
    </row>
    <row r="36" ht="15.75" customHeight="1">
      <c r="A36" s="4" t="s">
        <v>162</v>
      </c>
      <c r="B36" s="4" t="s">
        <v>163</v>
      </c>
      <c r="C36" s="4" t="s">
        <v>164</v>
      </c>
      <c r="D36" s="4" t="s">
        <v>165</v>
      </c>
    </row>
    <row r="37" ht="15.75" customHeight="1">
      <c r="A37" s="4" t="s">
        <v>166</v>
      </c>
      <c r="B37" s="4" t="s">
        <v>167</v>
      </c>
      <c r="C37" s="4" t="s">
        <v>168</v>
      </c>
      <c r="D37" s="4" t="s">
        <v>169</v>
      </c>
    </row>
    <row r="38" ht="15.75" customHeight="1">
      <c r="A38" s="4" t="s">
        <v>170</v>
      </c>
      <c r="B38" s="4" t="s">
        <v>171</v>
      </c>
      <c r="C38" s="4" t="s">
        <v>172</v>
      </c>
      <c r="D38" s="4" t="s">
        <v>173</v>
      </c>
    </row>
    <row r="39" ht="15.75" customHeight="1">
      <c r="A39" s="4" t="s">
        <v>131</v>
      </c>
      <c r="B39" s="4" t="s">
        <v>174</v>
      </c>
      <c r="C39" s="4" t="s">
        <v>175</v>
      </c>
      <c r="D39" s="4" t="s">
        <v>176</v>
      </c>
    </row>
    <row r="40" ht="15.75" customHeight="1">
      <c r="A40" s="4" t="s">
        <v>177</v>
      </c>
      <c r="B40" s="4" t="s">
        <v>178</v>
      </c>
      <c r="C40" s="4" t="s">
        <v>179</v>
      </c>
      <c r="D40" s="4" t="s">
        <v>180</v>
      </c>
    </row>
    <row r="41" ht="15.75" customHeight="1">
      <c r="A41" s="4" t="s">
        <v>181</v>
      </c>
      <c r="B41" s="4" t="s">
        <v>182</v>
      </c>
      <c r="C41" s="4" t="s">
        <v>184</v>
      </c>
      <c r="D41" s="4" t="s">
        <v>185</v>
      </c>
    </row>
    <row r="42" ht="15.75" customHeight="1">
      <c r="A42" s="4" t="s">
        <v>186</v>
      </c>
      <c r="B42" s="4" t="s">
        <v>187</v>
      </c>
      <c r="C42" s="4" t="s">
        <v>188</v>
      </c>
      <c r="D42" s="4" t="s">
        <v>189</v>
      </c>
    </row>
    <row r="43" ht="15.75" customHeight="1">
      <c r="A43" s="4" t="s">
        <v>190</v>
      </c>
      <c r="B43" s="4" t="s">
        <v>191</v>
      </c>
      <c r="C43" s="4" t="s">
        <v>192</v>
      </c>
      <c r="D43" s="4" t="s">
        <v>193</v>
      </c>
    </row>
    <row r="44" ht="15.75" customHeight="1">
      <c r="A44" s="4" t="s">
        <v>197</v>
      </c>
      <c r="B44" s="4" t="s">
        <v>201</v>
      </c>
      <c r="C44" s="4" t="s">
        <v>203</v>
      </c>
      <c r="D44" s="4" t="s">
        <v>204</v>
      </c>
    </row>
    <row r="45" ht="15.75" customHeight="1">
      <c r="A45" s="4" t="s">
        <v>205</v>
      </c>
      <c r="B45" s="4" t="s">
        <v>206</v>
      </c>
      <c r="C45" s="4" t="s">
        <v>207</v>
      </c>
      <c r="D45" s="4" t="s">
        <v>208</v>
      </c>
    </row>
    <row r="46" ht="15.75" customHeight="1">
      <c r="A46" s="4" t="s">
        <v>209</v>
      </c>
      <c r="B46" s="4" t="s">
        <v>210</v>
      </c>
      <c r="C46" s="4" t="s">
        <v>211</v>
      </c>
      <c r="D46" s="4" t="s">
        <v>212</v>
      </c>
    </row>
    <row r="47" ht="15.75" customHeight="1">
      <c r="A47" s="4" t="s">
        <v>213</v>
      </c>
      <c r="B47" s="4" t="s">
        <v>214</v>
      </c>
      <c r="C47" s="4" t="s">
        <v>215</v>
      </c>
      <c r="D47" s="4" t="s">
        <v>216</v>
      </c>
    </row>
    <row r="48" ht="15.75" customHeight="1">
      <c r="A48" s="4" t="s">
        <v>217</v>
      </c>
      <c r="B48" s="4" t="s">
        <v>218</v>
      </c>
      <c r="C48" s="4" t="s">
        <v>219</v>
      </c>
      <c r="D48" s="4" t="s">
        <v>220</v>
      </c>
    </row>
    <row r="49" ht="15.75" customHeight="1">
      <c r="A49" s="4" t="s">
        <v>221</v>
      </c>
      <c r="B49" s="4" t="s">
        <v>222</v>
      </c>
      <c r="C49" s="4" t="s">
        <v>223</v>
      </c>
      <c r="D49" s="4" t="s">
        <v>224</v>
      </c>
    </row>
    <row r="50" ht="15.75" customHeight="1">
      <c r="A50" s="4" t="s">
        <v>225</v>
      </c>
      <c r="B50" s="4" t="s">
        <v>226</v>
      </c>
      <c r="C50" s="4" t="s">
        <v>227</v>
      </c>
      <c r="D50" s="4" t="s">
        <v>228</v>
      </c>
    </row>
    <row r="51" ht="15.75" customHeight="1">
      <c r="A51" s="4" t="s">
        <v>229</v>
      </c>
      <c r="B51" s="4" t="s">
        <v>230</v>
      </c>
      <c r="C51" s="4" t="s">
        <v>231</v>
      </c>
      <c r="D51" s="4" t="s">
        <v>232</v>
      </c>
    </row>
    <row r="52" ht="15.75" customHeight="1">
      <c r="A52" s="4" t="s">
        <v>234</v>
      </c>
      <c r="B52" s="4" t="s">
        <v>235</v>
      </c>
      <c r="C52" s="4" t="s">
        <v>236</v>
      </c>
      <c r="D52" s="4" t="s">
        <v>237</v>
      </c>
    </row>
    <row r="53" ht="15.75" customHeight="1">
      <c r="A53" s="4" t="s">
        <v>238</v>
      </c>
      <c r="B53" s="4" t="s">
        <v>240</v>
      </c>
      <c r="C53" s="4" t="s">
        <v>241</v>
      </c>
      <c r="D53" s="4" t="s">
        <v>243</v>
      </c>
    </row>
    <row r="54" ht="15.75" customHeight="1">
      <c r="A54" s="4" t="s">
        <v>244</v>
      </c>
      <c r="B54" s="4" t="s">
        <v>245</v>
      </c>
      <c r="C54" s="4" t="s">
        <v>247</v>
      </c>
      <c r="D54" s="4" t="s">
        <v>248</v>
      </c>
    </row>
    <row r="55" ht="15.75" customHeight="1">
      <c r="A55" s="4" t="s">
        <v>249</v>
      </c>
      <c r="B55" s="4" t="s">
        <v>250</v>
      </c>
      <c r="C55" s="4" t="s">
        <v>251</v>
      </c>
      <c r="D55" s="4" t="s">
        <v>252</v>
      </c>
    </row>
    <row r="56" ht="15.75" customHeight="1">
      <c r="A56" s="4" t="s">
        <v>253</v>
      </c>
      <c r="B56" s="4" t="s">
        <v>254</v>
      </c>
      <c r="C56" s="4" t="s">
        <v>255</v>
      </c>
      <c r="D56" s="4" t="s">
        <v>256</v>
      </c>
    </row>
    <row r="57" ht="15.75" customHeight="1">
      <c r="A57" s="4" t="s">
        <v>257</v>
      </c>
      <c r="B57" s="4" t="s">
        <v>258</v>
      </c>
      <c r="C57" s="4" t="s">
        <v>259</v>
      </c>
      <c r="D57" s="4" t="s">
        <v>260</v>
      </c>
    </row>
    <row r="58" ht="15.75" customHeight="1">
      <c r="A58" s="4" t="s">
        <v>261</v>
      </c>
      <c r="B58" s="4" t="s">
        <v>262</v>
      </c>
      <c r="C58" s="4" t="s">
        <v>263</v>
      </c>
      <c r="D58" s="4" t="s">
        <v>264</v>
      </c>
    </row>
    <row r="59" ht="15.75" customHeight="1">
      <c r="A59" s="4" t="s">
        <v>265</v>
      </c>
      <c r="B59" s="4" t="s">
        <v>266</v>
      </c>
      <c r="C59" s="4" t="s">
        <v>267</v>
      </c>
      <c r="D59" s="4" t="s">
        <v>268</v>
      </c>
    </row>
    <row r="60" ht="15.75" customHeight="1">
      <c r="A60" s="4" t="s">
        <v>269</v>
      </c>
      <c r="B60" s="4" t="s">
        <v>270</v>
      </c>
      <c r="C60" s="4" t="s">
        <v>271</v>
      </c>
      <c r="D60" s="4" t="s">
        <v>272</v>
      </c>
    </row>
    <row r="61" ht="15.75" customHeight="1">
      <c r="A61" s="4" t="s">
        <v>273</v>
      </c>
      <c r="B61" s="4" t="s">
        <v>274</v>
      </c>
      <c r="C61" s="4" t="s">
        <v>275</v>
      </c>
      <c r="D61" s="4" t="s">
        <v>276</v>
      </c>
    </row>
    <row r="62" ht="15.75" customHeight="1">
      <c r="A62" s="4" t="s">
        <v>277</v>
      </c>
      <c r="B62" s="4" t="s">
        <v>278</v>
      </c>
      <c r="C62" s="4" t="s">
        <v>279</v>
      </c>
      <c r="D62" s="4" t="s">
        <v>280</v>
      </c>
    </row>
    <row r="63" ht="15.75" customHeight="1">
      <c r="A63" s="4" t="s">
        <v>281</v>
      </c>
      <c r="B63" s="4" t="s">
        <v>282</v>
      </c>
      <c r="C63" s="4" t="s">
        <v>283</v>
      </c>
      <c r="D63" s="4" t="s">
        <v>284</v>
      </c>
    </row>
    <row r="64" ht="15.75" customHeight="1">
      <c r="A64" s="4" t="s">
        <v>285</v>
      </c>
      <c r="B64" s="4" t="s">
        <v>286</v>
      </c>
      <c r="C64" s="4" t="s">
        <v>287</v>
      </c>
      <c r="D64" s="4" t="s">
        <v>288</v>
      </c>
    </row>
    <row r="65" ht="15.75" customHeight="1">
      <c r="A65" s="4" t="s">
        <v>289</v>
      </c>
      <c r="B65" s="4" t="s">
        <v>290</v>
      </c>
      <c r="C65" s="4" t="s">
        <v>292</v>
      </c>
      <c r="D65" s="4" t="s">
        <v>294</v>
      </c>
    </row>
    <row r="66" ht="15.75" customHeight="1">
      <c r="A66" s="4" t="s">
        <v>297</v>
      </c>
      <c r="B66" s="4" t="s">
        <v>298</v>
      </c>
      <c r="C66" s="4" t="s">
        <v>299</v>
      </c>
      <c r="D66" s="4" t="s">
        <v>300</v>
      </c>
    </row>
    <row r="67" ht="15.75" customHeight="1">
      <c r="A67" s="4" t="s">
        <v>301</v>
      </c>
      <c r="B67" s="4" t="s">
        <v>302</v>
      </c>
      <c r="C67" s="4" t="s">
        <v>303</v>
      </c>
      <c r="D67" s="4" t="s">
        <v>304</v>
      </c>
    </row>
    <row r="68" ht="15.75" customHeight="1">
      <c r="A68" s="4" t="s">
        <v>305</v>
      </c>
      <c r="B68" s="4" t="s">
        <v>306</v>
      </c>
      <c r="C68" s="4" t="s">
        <v>307</v>
      </c>
      <c r="D68" s="4" t="s">
        <v>308</v>
      </c>
    </row>
    <row r="69" ht="15.75" customHeight="1">
      <c r="A69" s="4" t="s">
        <v>309</v>
      </c>
      <c r="B69" s="4" t="s">
        <v>310</v>
      </c>
      <c r="C69" s="4" t="s">
        <v>311</v>
      </c>
      <c r="D69" s="4" t="s">
        <v>312</v>
      </c>
    </row>
    <row r="70" ht="15.75" customHeight="1">
      <c r="A70" s="4" t="s">
        <v>313</v>
      </c>
      <c r="B70" s="4" t="s">
        <v>314</v>
      </c>
      <c r="C70" s="4" t="s">
        <v>315</v>
      </c>
      <c r="D70" s="4" t="s">
        <v>316</v>
      </c>
    </row>
    <row r="71" ht="15.75" customHeight="1">
      <c r="A71" s="4" t="s">
        <v>317</v>
      </c>
      <c r="B71" s="4" t="s">
        <v>318</v>
      </c>
      <c r="C71" s="4" t="s">
        <v>319</v>
      </c>
      <c r="D71" s="4" t="s">
        <v>320</v>
      </c>
    </row>
    <row r="72" ht="15.75" customHeight="1">
      <c r="A72" s="4" t="s">
        <v>321</v>
      </c>
      <c r="B72" s="4" t="s">
        <v>322</v>
      </c>
      <c r="C72" s="4" t="s">
        <v>323</v>
      </c>
      <c r="D72" s="4" t="s">
        <v>324</v>
      </c>
    </row>
    <row r="73" ht="15.75" customHeight="1">
      <c r="A73" s="4" t="s">
        <v>325</v>
      </c>
      <c r="B73" s="4" t="s">
        <v>326</v>
      </c>
      <c r="C73" s="4" t="s">
        <v>328</v>
      </c>
      <c r="D73" s="4" t="s">
        <v>329</v>
      </c>
    </row>
    <row r="74" ht="15.75" customHeight="1">
      <c r="A74" s="4" t="s">
        <v>330</v>
      </c>
      <c r="B74" s="4" t="s">
        <v>331</v>
      </c>
      <c r="C74" s="4" t="s">
        <v>332</v>
      </c>
      <c r="D74" s="4" t="s">
        <v>333</v>
      </c>
    </row>
    <row r="75" ht="15.75" customHeight="1">
      <c r="A75" s="4" t="s">
        <v>334</v>
      </c>
      <c r="B75" s="4" t="s">
        <v>335</v>
      </c>
      <c r="C75" s="4" t="s">
        <v>336</v>
      </c>
      <c r="D75" s="4" t="s">
        <v>337</v>
      </c>
    </row>
    <row r="76" ht="15.75" customHeight="1">
      <c r="A76" s="4" t="s">
        <v>338</v>
      </c>
      <c r="B76" s="4" t="s">
        <v>339</v>
      </c>
      <c r="C76" s="4" t="s">
        <v>340</v>
      </c>
      <c r="D76" s="4" t="s">
        <v>341</v>
      </c>
    </row>
    <row r="77" ht="15.75" customHeight="1">
      <c r="A77" s="4" t="s">
        <v>345</v>
      </c>
      <c r="B77" s="4" t="s">
        <v>347</v>
      </c>
      <c r="C77" s="4" t="s">
        <v>348</v>
      </c>
      <c r="D77" s="4" t="s">
        <v>349</v>
      </c>
    </row>
    <row r="78" ht="15.75" customHeight="1">
      <c r="A78" s="4" t="s">
        <v>350</v>
      </c>
      <c r="B78" s="4" t="s">
        <v>351</v>
      </c>
      <c r="C78" s="4" t="s">
        <v>352</v>
      </c>
      <c r="D78" s="4" t="s">
        <v>353</v>
      </c>
    </row>
    <row r="79" ht="15.75" customHeight="1">
      <c r="A79" s="4" t="s">
        <v>354</v>
      </c>
      <c r="B79" s="4" t="s">
        <v>355</v>
      </c>
      <c r="C79" s="4" t="s">
        <v>356</v>
      </c>
      <c r="D79" s="4" t="s">
        <v>357</v>
      </c>
    </row>
    <row r="80" ht="15.75" customHeight="1">
      <c r="A80" s="4" t="s">
        <v>358</v>
      </c>
      <c r="B80" s="4" t="s">
        <v>359</v>
      </c>
      <c r="C80" s="4" t="s">
        <v>360</v>
      </c>
      <c r="D80" s="4" t="s">
        <v>361</v>
      </c>
    </row>
    <row r="81" ht="15.75" customHeight="1">
      <c r="A81" s="4" t="s">
        <v>362</v>
      </c>
      <c r="B81" s="4" t="s">
        <v>363</v>
      </c>
      <c r="C81" s="4" t="s">
        <v>364</v>
      </c>
      <c r="D81" s="4" t="s">
        <v>365</v>
      </c>
    </row>
    <row r="82" ht="15.75" customHeight="1">
      <c r="A82" s="4" t="s">
        <v>366</v>
      </c>
      <c r="B82" s="4" t="s">
        <v>367</v>
      </c>
      <c r="C82" s="4" t="s">
        <v>368</v>
      </c>
      <c r="D82" s="4" t="s">
        <v>369</v>
      </c>
    </row>
    <row r="83" ht="15.75" customHeight="1">
      <c r="A83" s="4" t="s">
        <v>370</v>
      </c>
      <c r="B83" s="4" t="s">
        <v>371</v>
      </c>
      <c r="C83" s="4" t="s">
        <v>372</v>
      </c>
      <c r="D83" s="4" t="s">
        <v>373</v>
      </c>
    </row>
    <row r="84" ht="15.75" customHeight="1">
      <c r="A84" s="4" t="s">
        <v>374</v>
      </c>
      <c r="B84" s="4" t="s">
        <v>375</v>
      </c>
      <c r="C84" s="4" t="s">
        <v>376</v>
      </c>
      <c r="D84" s="4" t="s">
        <v>377</v>
      </c>
    </row>
    <row r="85" ht="15.75" customHeight="1">
      <c r="A85" s="4" t="s">
        <v>378</v>
      </c>
      <c r="B85" s="4" t="s">
        <v>379</v>
      </c>
      <c r="C85" s="4" t="s">
        <v>380</v>
      </c>
      <c r="D85" s="4" t="s">
        <v>381</v>
      </c>
    </row>
    <row r="86" ht="15.75" customHeight="1">
      <c r="A86" s="4" t="s">
        <v>383</v>
      </c>
      <c r="B86" s="4" t="s">
        <v>386</v>
      </c>
      <c r="C86" s="4" t="s">
        <v>387</v>
      </c>
      <c r="D86" s="4" t="s">
        <v>388</v>
      </c>
    </row>
    <row r="87" ht="15.75" customHeight="1">
      <c r="A87" s="4" t="s">
        <v>389</v>
      </c>
      <c r="B87" s="4" t="s">
        <v>390</v>
      </c>
      <c r="C87" s="4" t="s">
        <v>391</v>
      </c>
      <c r="D87" s="4" t="s">
        <v>392</v>
      </c>
    </row>
    <row r="88" ht="15.75" customHeight="1">
      <c r="A88" s="4" t="s">
        <v>393</v>
      </c>
      <c r="B88" s="4" t="s">
        <v>394</v>
      </c>
      <c r="C88" s="4" t="s">
        <v>395</v>
      </c>
      <c r="D88" s="4" t="s">
        <v>396</v>
      </c>
    </row>
    <row r="89" ht="15.75" customHeight="1">
      <c r="A89" s="4" t="s">
        <v>398</v>
      </c>
      <c r="B89" s="4" t="s">
        <v>400</v>
      </c>
      <c r="C89" s="4" t="s">
        <v>401</v>
      </c>
      <c r="D89" s="4" t="s">
        <v>403</v>
      </c>
    </row>
    <row r="90" ht="15.75" customHeight="1">
      <c r="A90" s="4" t="s">
        <v>405</v>
      </c>
      <c r="B90" s="4" t="s">
        <v>406</v>
      </c>
      <c r="C90" s="4" t="s">
        <v>407</v>
      </c>
      <c r="D90" s="4" t="s">
        <v>408</v>
      </c>
    </row>
    <row r="91" ht="15.75" customHeight="1">
      <c r="A91" s="4" t="s">
        <v>409</v>
      </c>
      <c r="B91" s="4" t="s">
        <v>410</v>
      </c>
      <c r="C91" s="4" t="s">
        <v>411</v>
      </c>
      <c r="D91" s="4" t="s">
        <v>412</v>
      </c>
    </row>
    <row r="92" ht="15.75" customHeight="1">
      <c r="A92" s="4" t="s">
        <v>413</v>
      </c>
      <c r="B92" s="4" t="s">
        <v>414</v>
      </c>
      <c r="C92" s="4" t="s">
        <v>415</v>
      </c>
      <c r="D92" s="4" t="s">
        <v>416</v>
      </c>
    </row>
    <row r="93" ht="15.75" customHeight="1">
      <c r="A93" s="4" t="s">
        <v>417</v>
      </c>
      <c r="B93" s="4" t="s">
        <v>418</v>
      </c>
      <c r="C93" s="4" t="s">
        <v>419</v>
      </c>
      <c r="D93" s="4" t="s">
        <v>420</v>
      </c>
    </row>
    <row r="94" ht="15.75" customHeight="1">
      <c r="A94" s="4" t="s">
        <v>421</v>
      </c>
      <c r="B94" s="4" t="s">
        <v>422</v>
      </c>
      <c r="C94" s="4" t="s">
        <v>423</v>
      </c>
      <c r="D94" s="4" t="s">
        <v>424</v>
      </c>
    </row>
    <row r="95" ht="15.75" customHeight="1">
      <c r="A95" s="4" t="s">
        <v>425</v>
      </c>
      <c r="B95" s="4" t="s">
        <v>426</v>
      </c>
      <c r="C95" s="4" t="s">
        <v>427</v>
      </c>
      <c r="D95" s="4" t="s">
        <v>428</v>
      </c>
    </row>
    <row r="96" ht="15.75" customHeight="1">
      <c r="A96" s="4" t="s">
        <v>429</v>
      </c>
      <c r="B96" s="4" t="s">
        <v>430</v>
      </c>
      <c r="C96" s="4" t="s">
        <v>431</v>
      </c>
      <c r="D96" s="4" t="s">
        <v>432</v>
      </c>
    </row>
    <row r="97" ht="15.75" customHeight="1">
      <c r="A97" s="4" t="s">
        <v>433</v>
      </c>
      <c r="B97" s="4" t="s">
        <v>434</v>
      </c>
      <c r="C97" s="4" t="s">
        <v>435</v>
      </c>
      <c r="D97" s="4" t="s">
        <v>436</v>
      </c>
    </row>
    <row r="98" ht="15.75" customHeight="1">
      <c r="A98" s="4" t="s">
        <v>437</v>
      </c>
      <c r="B98" s="4" t="s">
        <v>438</v>
      </c>
      <c r="C98" s="4" t="s">
        <v>439</v>
      </c>
      <c r="D98" s="4" t="s">
        <v>440</v>
      </c>
    </row>
    <row r="99" ht="15.75" customHeight="1">
      <c r="A99" s="4" t="s">
        <v>441</v>
      </c>
      <c r="B99" s="4" t="s">
        <v>442</v>
      </c>
      <c r="C99" s="4" t="s">
        <v>443</v>
      </c>
      <c r="D99" s="4" t="s">
        <v>444</v>
      </c>
    </row>
    <row r="100" ht="15.75" customHeight="1">
      <c r="A100" s="4" t="s">
        <v>445</v>
      </c>
      <c r="B100" s="4" t="s">
        <v>446</v>
      </c>
      <c r="C100" s="4" t="s">
        <v>447</v>
      </c>
      <c r="D100" s="4" t="s">
        <v>448</v>
      </c>
    </row>
    <row r="101" ht="15.75" customHeight="1">
      <c r="A101" s="4" t="s">
        <v>449</v>
      </c>
      <c r="B101" s="4" t="s">
        <v>450</v>
      </c>
      <c r="C101" s="4" t="s">
        <v>451</v>
      </c>
      <c r="D101" s="4" t="s">
        <v>452</v>
      </c>
    </row>
    <row r="102" ht="15.75" customHeight="1">
      <c r="A102" s="4" t="s">
        <v>453</v>
      </c>
      <c r="B102" s="4" t="s">
        <v>454</v>
      </c>
      <c r="C102" s="4" t="s">
        <v>455</v>
      </c>
      <c r="D102" s="4" t="s">
        <v>456</v>
      </c>
    </row>
    <row r="103" ht="15.75" customHeight="1">
      <c r="A103" s="4" t="s">
        <v>457</v>
      </c>
      <c r="B103" s="4" t="s">
        <v>458</v>
      </c>
      <c r="C103" s="4" t="s">
        <v>459</v>
      </c>
      <c r="D103" s="4" t="s">
        <v>460</v>
      </c>
    </row>
    <row r="104" ht="15.75" customHeight="1">
      <c r="A104" s="4" t="s">
        <v>461</v>
      </c>
      <c r="B104" s="4" t="s">
        <v>462</v>
      </c>
      <c r="C104" s="4" t="s">
        <v>463</v>
      </c>
      <c r="D104" s="4" t="s">
        <v>464</v>
      </c>
    </row>
    <row r="105" ht="15.75" customHeight="1">
      <c r="A105" s="4" t="s">
        <v>466</v>
      </c>
      <c r="B105" s="4" t="s">
        <v>467</v>
      </c>
      <c r="C105" s="4" t="s">
        <v>468</v>
      </c>
      <c r="D105" s="4" t="s">
        <v>469</v>
      </c>
    </row>
    <row r="106" ht="15.75" customHeight="1">
      <c r="A106" s="4" t="s">
        <v>470</v>
      </c>
      <c r="B106" s="4" t="s">
        <v>471</v>
      </c>
      <c r="C106" s="4" t="s">
        <v>472</v>
      </c>
      <c r="D106" s="4" t="s">
        <v>473</v>
      </c>
    </row>
    <row r="107" ht="15.75" customHeight="1">
      <c r="A107" s="4" t="s">
        <v>474</v>
      </c>
      <c r="B107" s="4" t="s">
        <v>475</v>
      </c>
      <c r="C107" s="4" t="s">
        <v>476</v>
      </c>
      <c r="D107" s="4" t="s">
        <v>477</v>
      </c>
    </row>
    <row r="108" ht="15.75" customHeight="1">
      <c r="A108" s="4" t="s">
        <v>478</v>
      </c>
      <c r="B108" s="4" t="s">
        <v>479</v>
      </c>
      <c r="C108" s="4" t="s">
        <v>480</v>
      </c>
      <c r="D108" s="4" t="s">
        <v>481</v>
      </c>
    </row>
    <row r="109" ht="15.75" customHeight="1">
      <c r="A109" s="4" t="s">
        <v>482</v>
      </c>
      <c r="B109" s="4" t="s">
        <v>483</v>
      </c>
      <c r="C109" s="4" t="s">
        <v>484</v>
      </c>
      <c r="D109" s="4" t="s">
        <v>485</v>
      </c>
    </row>
    <row r="110" ht="15.75" customHeight="1">
      <c r="A110" s="4" t="s">
        <v>486</v>
      </c>
      <c r="B110" s="4" t="s">
        <v>487</v>
      </c>
      <c r="C110" s="4" t="s">
        <v>488</v>
      </c>
      <c r="D110" s="4" t="s">
        <v>489</v>
      </c>
    </row>
    <row r="111" ht="15.75" customHeight="1">
      <c r="A111" s="4" t="s">
        <v>490</v>
      </c>
      <c r="B111" s="4" t="s">
        <v>491</v>
      </c>
      <c r="C111" s="4" t="s">
        <v>492</v>
      </c>
      <c r="D111" s="4" t="s">
        <v>493</v>
      </c>
    </row>
    <row r="112" ht="15.75" customHeight="1">
      <c r="A112" s="4" t="s">
        <v>494</v>
      </c>
      <c r="B112" s="4" t="s">
        <v>495</v>
      </c>
      <c r="C112" s="4" t="s">
        <v>496</v>
      </c>
      <c r="D112" s="4" t="s">
        <v>497</v>
      </c>
    </row>
    <row r="113" ht="15.75" customHeight="1">
      <c r="A113" s="4" t="s">
        <v>498</v>
      </c>
      <c r="B113" s="4" t="s">
        <v>499</v>
      </c>
      <c r="C113" s="4" t="s">
        <v>500</v>
      </c>
      <c r="D113" s="4" t="s">
        <v>501</v>
      </c>
    </row>
    <row r="114" ht="15.75" customHeight="1">
      <c r="A114" s="4" t="s">
        <v>502</v>
      </c>
      <c r="B114" s="4" t="s">
        <v>503</v>
      </c>
      <c r="C114" s="4" t="s">
        <v>504</v>
      </c>
      <c r="D114" s="4" t="s">
        <v>505</v>
      </c>
    </row>
    <row r="115" ht="15.75" customHeight="1">
      <c r="A115" s="4" t="s">
        <v>506</v>
      </c>
      <c r="B115" s="4" t="s">
        <v>507</v>
      </c>
      <c r="C115" s="4" t="s">
        <v>508</v>
      </c>
      <c r="D115" s="4" t="s">
        <v>509</v>
      </c>
    </row>
    <row r="116" ht="15.75" customHeight="1">
      <c r="A116" s="4" t="s">
        <v>510</v>
      </c>
      <c r="B116" s="4" t="s">
        <v>511</v>
      </c>
      <c r="C116" s="4" t="s">
        <v>512</v>
      </c>
      <c r="D116" s="4" t="s">
        <v>513</v>
      </c>
    </row>
    <row r="117" ht="15.75" customHeight="1">
      <c r="A117" s="4" t="s">
        <v>514</v>
      </c>
      <c r="B117" s="4" t="s">
        <v>515</v>
      </c>
      <c r="C117" s="4" t="s">
        <v>516</v>
      </c>
      <c r="D117" s="4" t="s">
        <v>517</v>
      </c>
    </row>
    <row r="118" ht="15.75" customHeight="1">
      <c r="A118" s="4" t="s">
        <v>518</v>
      </c>
      <c r="B118" s="4" t="s">
        <v>519</v>
      </c>
      <c r="C118" s="4" t="s">
        <v>520</v>
      </c>
      <c r="D118" s="4" t="s">
        <v>521</v>
      </c>
    </row>
    <row r="119" ht="15.75" customHeight="1">
      <c r="A119" s="4" t="s">
        <v>522</v>
      </c>
      <c r="B119" s="4" t="s">
        <v>523</v>
      </c>
      <c r="C119" s="4" t="s">
        <v>524</v>
      </c>
      <c r="D119" s="4" t="s">
        <v>525</v>
      </c>
    </row>
    <row r="120" ht="15.75" customHeight="1">
      <c r="A120" s="4" t="s">
        <v>526</v>
      </c>
      <c r="B120" s="4" t="s">
        <v>527</v>
      </c>
      <c r="C120" s="4" t="s">
        <v>528</v>
      </c>
      <c r="D120" s="4" t="s">
        <v>529</v>
      </c>
    </row>
    <row r="121" ht="15.75" customHeight="1">
      <c r="A121" s="4" t="s">
        <v>530</v>
      </c>
      <c r="B121" s="4" t="s">
        <v>531</v>
      </c>
      <c r="C121" s="4" t="s">
        <v>532</v>
      </c>
      <c r="D121" s="4" t="s">
        <v>533</v>
      </c>
    </row>
    <row r="122" ht="15.75" customHeight="1">
      <c r="A122" s="4" t="s">
        <v>534</v>
      </c>
      <c r="B122" s="4" t="s">
        <v>535</v>
      </c>
      <c r="C122" s="4" t="s">
        <v>536</v>
      </c>
      <c r="D122" s="4" t="s">
        <v>537</v>
      </c>
    </row>
    <row r="123" ht="15.75" customHeight="1">
      <c r="A123" s="4" t="s">
        <v>538</v>
      </c>
      <c r="B123" s="4" t="s">
        <v>539</v>
      </c>
      <c r="C123" s="4" t="s">
        <v>540</v>
      </c>
      <c r="D123" s="4" t="s">
        <v>541</v>
      </c>
    </row>
    <row r="124" ht="15.75" customHeight="1">
      <c r="A124" s="4" t="s">
        <v>542</v>
      </c>
      <c r="B124" s="4" t="s">
        <v>543</v>
      </c>
      <c r="C124" s="4" t="s">
        <v>544</v>
      </c>
      <c r="D124" s="4" t="s">
        <v>545</v>
      </c>
    </row>
    <row r="125" ht="15.75" customHeight="1">
      <c r="A125" s="4" t="s">
        <v>546</v>
      </c>
      <c r="B125" s="4" t="s">
        <v>547</v>
      </c>
      <c r="C125" s="4" t="s">
        <v>548</v>
      </c>
      <c r="D125" s="4" t="s">
        <v>549</v>
      </c>
    </row>
    <row r="126" ht="15.75" customHeight="1">
      <c r="A126" s="4" t="s">
        <v>550</v>
      </c>
      <c r="B126" s="4" t="s">
        <v>551</v>
      </c>
      <c r="C126" s="4" t="s">
        <v>552</v>
      </c>
      <c r="D126" s="4" t="s">
        <v>553</v>
      </c>
    </row>
    <row r="127" ht="15.75" customHeight="1">
      <c r="A127" s="4" t="s">
        <v>554</v>
      </c>
      <c r="B127" s="4" t="s">
        <v>555</v>
      </c>
      <c r="C127" s="4" t="s">
        <v>556</v>
      </c>
      <c r="D127" s="4" t="s">
        <v>557</v>
      </c>
    </row>
    <row r="128" ht="15.75" customHeight="1">
      <c r="A128" s="4" t="s">
        <v>558</v>
      </c>
      <c r="B128" s="4" t="s">
        <v>559</v>
      </c>
      <c r="C128" s="4" t="s">
        <v>560</v>
      </c>
      <c r="D128" s="4" t="s">
        <v>561</v>
      </c>
    </row>
    <row r="129" ht="15.75" customHeight="1">
      <c r="A129" s="4" t="s">
        <v>562</v>
      </c>
      <c r="B129" s="4" t="s">
        <v>563</v>
      </c>
      <c r="C129" s="4" t="s">
        <v>564</v>
      </c>
      <c r="D129" s="4" t="s">
        <v>565</v>
      </c>
    </row>
    <row r="130" ht="15.75" customHeight="1">
      <c r="A130" s="4" t="s">
        <v>566</v>
      </c>
      <c r="B130" s="4" t="s">
        <v>567</v>
      </c>
      <c r="C130" s="4" t="s">
        <v>568</v>
      </c>
      <c r="D130" s="4" t="s">
        <v>569</v>
      </c>
    </row>
    <row r="131" ht="15.75" customHeight="1">
      <c r="A131" s="4" t="s">
        <v>570</v>
      </c>
      <c r="B131" s="4" t="s">
        <v>571</v>
      </c>
      <c r="C131" s="4" t="s">
        <v>572</v>
      </c>
      <c r="D131" s="4" t="s">
        <v>573</v>
      </c>
    </row>
    <row r="132" ht="15.75" customHeight="1">
      <c r="A132" s="4" t="s">
        <v>574</v>
      </c>
      <c r="B132" s="4" t="s">
        <v>575</v>
      </c>
      <c r="C132" s="4" t="s">
        <v>576</v>
      </c>
      <c r="D132" s="4" t="s">
        <v>577</v>
      </c>
    </row>
    <row r="133" ht="15.75" customHeight="1">
      <c r="A133" s="4" t="s">
        <v>578</v>
      </c>
      <c r="B133" s="4" t="s">
        <v>579</v>
      </c>
      <c r="C133" s="4" t="s">
        <v>580</v>
      </c>
      <c r="D133" s="4" t="s">
        <v>581</v>
      </c>
    </row>
    <row r="134" ht="15.75" customHeight="1">
      <c r="A134" s="4" t="s">
        <v>582</v>
      </c>
      <c r="B134" s="4" t="s">
        <v>583</v>
      </c>
      <c r="C134" s="4" t="s">
        <v>584</v>
      </c>
      <c r="D134" s="4" t="s">
        <v>585</v>
      </c>
    </row>
    <row r="135" ht="15.75" customHeight="1">
      <c r="A135" s="4" t="s">
        <v>586</v>
      </c>
      <c r="B135" s="4" t="s">
        <v>587</v>
      </c>
      <c r="C135" s="4" t="s">
        <v>588</v>
      </c>
      <c r="D135" s="4" t="s">
        <v>589</v>
      </c>
    </row>
    <row r="136" ht="15.75" customHeight="1">
      <c r="A136" s="4" t="s">
        <v>590</v>
      </c>
      <c r="B136" s="4" t="s">
        <v>591</v>
      </c>
      <c r="C136" s="4" t="s">
        <v>592</v>
      </c>
      <c r="D136" s="4" t="s">
        <v>593</v>
      </c>
    </row>
    <row r="137" ht="15.75" customHeight="1">
      <c r="A137" s="4" t="s">
        <v>594</v>
      </c>
      <c r="B137" s="4" t="s">
        <v>595</v>
      </c>
      <c r="C137" s="4" t="s">
        <v>596</v>
      </c>
      <c r="D137" s="4" t="s">
        <v>597</v>
      </c>
    </row>
    <row r="138" ht="15.75" customHeight="1">
      <c r="A138" s="4" t="s">
        <v>598</v>
      </c>
      <c r="B138" s="4" t="s">
        <v>599</v>
      </c>
      <c r="C138" s="4" t="s">
        <v>600</v>
      </c>
      <c r="D138" s="4" t="s">
        <v>601</v>
      </c>
    </row>
    <row r="139" ht="15.75" customHeight="1">
      <c r="A139" s="4" t="s">
        <v>602</v>
      </c>
      <c r="B139" s="4" t="s">
        <v>603</v>
      </c>
      <c r="C139" s="4" t="s">
        <v>604</v>
      </c>
      <c r="D139" s="4" t="s">
        <v>605</v>
      </c>
    </row>
    <row r="140" ht="15.75" customHeight="1">
      <c r="A140" s="4" t="s">
        <v>246</v>
      </c>
      <c r="B140" s="4" t="s">
        <v>195</v>
      </c>
      <c r="C140" s="4" t="s">
        <v>606</v>
      </c>
      <c r="D140" s="4" t="s">
        <v>607</v>
      </c>
    </row>
    <row r="141" ht="15.75" customHeight="1">
      <c r="A141" s="4" t="s">
        <v>608</v>
      </c>
      <c r="B141" s="4" t="s">
        <v>609</v>
      </c>
      <c r="C141" s="4" t="s">
        <v>610</v>
      </c>
      <c r="D141" s="4" t="s">
        <v>611</v>
      </c>
    </row>
    <row r="142" ht="15.75" customHeight="1">
      <c r="A142" s="4" t="s">
        <v>612</v>
      </c>
      <c r="B142" s="4" t="s">
        <v>613</v>
      </c>
      <c r="C142" s="4" t="s">
        <v>614</v>
      </c>
      <c r="D142" s="4" t="s">
        <v>615</v>
      </c>
    </row>
    <row r="143" ht="15.75" customHeight="1">
      <c r="A143" s="4" t="s">
        <v>616</v>
      </c>
      <c r="B143" s="4" t="s">
        <v>617</v>
      </c>
      <c r="C143" s="4" t="s">
        <v>618</v>
      </c>
      <c r="D143" s="4" t="s">
        <v>619</v>
      </c>
    </row>
    <row r="144" ht="15.75" customHeight="1">
      <c r="A144" s="4" t="s">
        <v>620</v>
      </c>
      <c r="B144" s="4" t="s">
        <v>621</v>
      </c>
      <c r="C144" s="4" t="s">
        <v>622</v>
      </c>
      <c r="D144" s="4" t="s">
        <v>623</v>
      </c>
    </row>
    <row r="145" ht="15.75" customHeight="1">
      <c r="A145" s="4" t="s">
        <v>624</v>
      </c>
      <c r="B145" s="4" t="s">
        <v>625</v>
      </c>
      <c r="C145" s="4" t="s">
        <v>626</v>
      </c>
      <c r="D145" s="4" t="s">
        <v>627</v>
      </c>
    </row>
    <row r="146" ht="15.75" customHeight="1">
      <c r="A146" s="4" t="s">
        <v>628</v>
      </c>
      <c r="B146" s="4" t="s">
        <v>629</v>
      </c>
      <c r="C146" s="4" t="s">
        <v>630</v>
      </c>
      <c r="D146" s="4" t="s">
        <v>631</v>
      </c>
    </row>
    <row r="147" ht="15.75" customHeight="1">
      <c r="A147" s="4" t="s">
        <v>632</v>
      </c>
      <c r="B147" s="4" t="s">
        <v>633</v>
      </c>
      <c r="C147" s="4" t="s">
        <v>634</v>
      </c>
      <c r="D147" s="4" t="s">
        <v>635</v>
      </c>
    </row>
    <row r="148" ht="15.75" customHeight="1">
      <c r="A148" s="4" t="s">
        <v>636</v>
      </c>
      <c r="B148" s="4" t="s">
        <v>637</v>
      </c>
      <c r="C148" s="4" t="s">
        <v>638</v>
      </c>
      <c r="D148" s="4" t="s">
        <v>639</v>
      </c>
    </row>
    <row r="149" ht="15.75" customHeight="1">
      <c r="A149" s="4" t="s">
        <v>640</v>
      </c>
      <c r="B149" s="4" t="s">
        <v>641</v>
      </c>
      <c r="C149" s="4" t="s">
        <v>642</v>
      </c>
      <c r="D149" s="4" t="s">
        <v>643</v>
      </c>
    </row>
    <row r="150" ht="15.75" customHeight="1">
      <c r="A150" s="4" t="s">
        <v>644</v>
      </c>
      <c r="B150" s="4" t="s">
        <v>645</v>
      </c>
      <c r="C150" s="4" t="s">
        <v>646</v>
      </c>
      <c r="D150" s="4" t="s">
        <v>647</v>
      </c>
    </row>
    <row r="151" ht="15.75" customHeight="1">
      <c r="A151" s="4" t="s">
        <v>648</v>
      </c>
      <c r="B151" s="4" t="s">
        <v>649</v>
      </c>
      <c r="C151" s="4" t="s">
        <v>650</v>
      </c>
      <c r="D151" s="4" t="s">
        <v>651</v>
      </c>
    </row>
    <row r="152" ht="15.75" customHeight="1">
      <c r="A152" s="4" t="s">
        <v>652</v>
      </c>
      <c r="B152" s="4" t="s">
        <v>653</v>
      </c>
      <c r="C152" s="4" t="s">
        <v>654</v>
      </c>
      <c r="D152" s="4" t="s">
        <v>655</v>
      </c>
    </row>
    <row r="153" ht="15.75" customHeight="1">
      <c r="A153" s="4" t="s">
        <v>656</v>
      </c>
      <c r="B153" s="4" t="s">
        <v>657</v>
      </c>
      <c r="C153" s="4" t="s">
        <v>658</v>
      </c>
      <c r="D153" s="4" t="s">
        <v>659</v>
      </c>
    </row>
    <row r="154" ht="15.75" customHeight="1">
      <c r="A154" s="4" t="s">
        <v>660</v>
      </c>
      <c r="B154" s="4" t="s">
        <v>661</v>
      </c>
      <c r="C154" s="4" t="s">
        <v>662</v>
      </c>
      <c r="D154" s="4" t="s">
        <v>663</v>
      </c>
    </row>
    <row r="155" ht="15.75" customHeight="1">
      <c r="A155" s="4" t="s">
        <v>664</v>
      </c>
      <c r="B155" s="4" t="s">
        <v>665</v>
      </c>
      <c r="C155" s="4" t="s">
        <v>666</v>
      </c>
      <c r="D155" s="4" t="s">
        <v>667</v>
      </c>
    </row>
    <row r="156" ht="15.75" customHeight="1">
      <c r="A156" s="4" t="s">
        <v>668</v>
      </c>
      <c r="B156" s="4" t="s">
        <v>669</v>
      </c>
      <c r="C156" s="4" t="s">
        <v>670</v>
      </c>
      <c r="D156" s="4" t="s">
        <v>671</v>
      </c>
    </row>
    <row r="157" ht="15.75" customHeight="1">
      <c r="A157" s="4" t="s">
        <v>672</v>
      </c>
      <c r="B157" s="4" t="s">
        <v>673</v>
      </c>
      <c r="C157" s="4" t="s">
        <v>674</v>
      </c>
      <c r="D157" s="4" t="s">
        <v>675</v>
      </c>
    </row>
    <row r="158" ht="15.75" customHeight="1">
      <c r="A158" s="4" t="s">
        <v>676</v>
      </c>
      <c r="B158" s="4" t="s">
        <v>677</v>
      </c>
      <c r="C158" s="4" t="s">
        <v>678</v>
      </c>
      <c r="D158" s="4" t="s">
        <v>679</v>
      </c>
    </row>
    <row r="159" ht="15.75" customHeight="1">
      <c r="A159" s="4" t="s">
        <v>680</v>
      </c>
      <c r="B159" s="4" t="s">
        <v>681</v>
      </c>
      <c r="C159" s="4" t="s">
        <v>449</v>
      </c>
      <c r="D159" s="4" t="s">
        <v>682</v>
      </c>
    </row>
    <row r="160" ht="15.75" customHeight="1">
      <c r="A160" s="4" t="s">
        <v>683</v>
      </c>
      <c r="B160" s="4" t="s">
        <v>684</v>
      </c>
      <c r="C160" s="4" t="s">
        <v>685</v>
      </c>
      <c r="D160" s="4" t="s">
        <v>686</v>
      </c>
    </row>
    <row r="161" ht="15.75" customHeight="1">
      <c r="A161" s="4" t="s">
        <v>687</v>
      </c>
      <c r="B161" s="4" t="s">
        <v>688</v>
      </c>
      <c r="C161" s="4" t="s">
        <v>689</v>
      </c>
      <c r="D161" s="4" t="s">
        <v>690</v>
      </c>
    </row>
    <row r="162" ht="15.75" customHeight="1">
      <c r="A162" s="4" t="s">
        <v>691</v>
      </c>
      <c r="B162" s="4" t="s">
        <v>692</v>
      </c>
      <c r="C162" s="4" t="s">
        <v>693</v>
      </c>
      <c r="D162" s="4" t="s">
        <v>694</v>
      </c>
    </row>
    <row r="163" ht="15.75" customHeight="1">
      <c r="A163" s="4" t="s">
        <v>695</v>
      </c>
      <c r="B163" s="4" t="s">
        <v>696</v>
      </c>
      <c r="C163" s="4" t="s">
        <v>697</v>
      </c>
      <c r="D163" s="4" t="s">
        <v>698</v>
      </c>
    </row>
    <row r="164" ht="15.75" customHeight="1">
      <c r="A164" s="4" t="s">
        <v>699</v>
      </c>
      <c r="B164" s="4" t="s">
        <v>700</v>
      </c>
      <c r="C164" s="4" t="s">
        <v>199</v>
      </c>
      <c r="D164" s="4" t="s">
        <v>701</v>
      </c>
    </row>
    <row r="165" ht="15.75" customHeight="1">
      <c r="A165" s="4" t="s">
        <v>702</v>
      </c>
      <c r="B165" s="4" t="s">
        <v>703</v>
      </c>
      <c r="C165" s="4" t="s">
        <v>704</v>
      </c>
      <c r="D165" s="4" t="s">
        <v>705</v>
      </c>
    </row>
    <row r="166" ht="15.75" customHeight="1">
      <c r="A166" s="4" t="s">
        <v>706</v>
      </c>
      <c r="B166" s="4" t="s">
        <v>707</v>
      </c>
      <c r="C166" s="4" t="s">
        <v>708</v>
      </c>
      <c r="D166" s="4" t="s">
        <v>709</v>
      </c>
    </row>
    <row r="167" ht="15.75" customHeight="1">
      <c r="A167" s="4" t="s">
        <v>710</v>
      </c>
      <c r="B167" s="4" t="s">
        <v>711</v>
      </c>
      <c r="C167" s="4" t="s">
        <v>712</v>
      </c>
      <c r="D167" s="4" t="s">
        <v>713</v>
      </c>
    </row>
    <row r="168" ht="15.75" customHeight="1">
      <c r="A168" s="4" t="s">
        <v>714</v>
      </c>
      <c r="B168" s="4" t="s">
        <v>715</v>
      </c>
      <c r="C168" s="4" t="s">
        <v>716</v>
      </c>
      <c r="D168" s="4" t="s">
        <v>717</v>
      </c>
    </row>
    <row r="169" ht="15.75" customHeight="1">
      <c r="A169" s="4" t="s">
        <v>718</v>
      </c>
      <c r="B169" s="4" t="s">
        <v>719</v>
      </c>
      <c r="C169" s="4" t="s">
        <v>720</v>
      </c>
      <c r="D169" s="4" t="s">
        <v>721</v>
      </c>
    </row>
    <row r="170" ht="15.75" customHeight="1">
      <c r="A170" s="4" t="s">
        <v>722</v>
      </c>
      <c r="B170" s="4" t="s">
        <v>723</v>
      </c>
      <c r="C170" s="4" t="s">
        <v>724</v>
      </c>
      <c r="D170" s="4" t="s">
        <v>725</v>
      </c>
    </row>
    <row r="171" ht="15.75" customHeight="1">
      <c r="A171" s="4" t="s">
        <v>726</v>
      </c>
      <c r="B171" s="4" t="s">
        <v>727</v>
      </c>
      <c r="C171" s="4" t="s">
        <v>728</v>
      </c>
      <c r="D171" s="4" t="s">
        <v>729</v>
      </c>
    </row>
    <row r="172" ht="15.75" customHeight="1">
      <c r="A172" s="4" t="s">
        <v>730</v>
      </c>
      <c r="B172" s="4" t="s">
        <v>731</v>
      </c>
      <c r="C172" s="4" t="s">
        <v>732</v>
      </c>
      <c r="D172" s="4" t="s">
        <v>733</v>
      </c>
    </row>
    <row r="173" ht="15.75" customHeight="1">
      <c r="A173" s="4" t="s">
        <v>734</v>
      </c>
      <c r="B173" s="4" t="s">
        <v>735</v>
      </c>
      <c r="C173" s="4" t="s">
        <v>736</v>
      </c>
      <c r="D173" s="4" t="s">
        <v>737</v>
      </c>
    </row>
    <row r="174" ht="15.75" customHeight="1">
      <c r="A174" s="4" t="s">
        <v>738</v>
      </c>
      <c r="B174" s="4" t="s">
        <v>739</v>
      </c>
      <c r="C174" s="4" t="s">
        <v>740</v>
      </c>
      <c r="D174" s="4" t="s">
        <v>741</v>
      </c>
    </row>
    <row r="175" ht="15.75" customHeight="1">
      <c r="C175" s="4" t="s">
        <v>742</v>
      </c>
      <c r="D175" s="4" t="s">
        <v>743</v>
      </c>
    </row>
    <row r="176" ht="15.75" customHeight="1">
      <c r="C176" s="4" t="s">
        <v>744</v>
      </c>
      <c r="D176" s="4" t="s">
        <v>745</v>
      </c>
    </row>
    <row r="177" ht="15.75" customHeight="1">
      <c r="C177" s="4" t="s">
        <v>746</v>
      </c>
      <c r="D177" s="4" t="s">
        <v>747</v>
      </c>
    </row>
    <row r="178" ht="15.75" customHeight="1">
      <c r="C178" s="4" t="s">
        <v>748</v>
      </c>
      <c r="D178" s="4" t="s">
        <v>749</v>
      </c>
    </row>
    <row r="179" ht="15.75" customHeight="1">
      <c r="C179" s="4" t="s">
        <v>750</v>
      </c>
      <c r="D179" s="4" t="s">
        <v>751</v>
      </c>
    </row>
    <row r="180" ht="15.75" customHeight="1">
      <c r="C180" s="4" t="s">
        <v>752</v>
      </c>
      <c r="D180" s="4" t="s">
        <v>753</v>
      </c>
    </row>
    <row r="181" ht="15.75" customHeight="1">
      <c r="C181" s="4" t="s">
        <v>754</v>
      </c>
      <c r="D181" s="4" t="s">
        <v>755</v>
      </c>
    </row>
    <row r="182" ht="15.75" customHeight="1">
      <c r="C182" s="4" t="s">
        <v>756</v>
      </c>
      <c r="D182" s="4" t="s">
        <v>757</v>
      </c>
    </row>
    <row r="183" ht="15.75" customHeight="1">
      <c r="C183" s="4" t="s">
        <v>758</v>
      </c>
      <c r="D183" s="4" t="s">
        <v>759</v>
      </c>
    </row>
    <row r="184" ht="15.75" customHeight="1">
      <c r="C184" s="4" t="s">
        <v>760</v>
      </c>
      <c r="D184" s="4" t="s">
        <v>761</v>
      </c>
    </row>
    <row r="185" ht="15.75" customHeight="1">
      <c r="C185" s="4" t="s">
        <v>762</v>
      </c>
      <c r="D185" s="4" t="s">
        <v>763</v>
      </c>
    </row>
    <row r="186" ht="15.75" customHeight="1">
      <c r="C186" s="4" t="s">
        <v>764</v>
      </c>
      <c r="D186" s="4" t="s">
        <v>765</v>
      </c>
    </row>
    <row r="187" ht="15.75" customHeight="1">
      <c r="C187" s="4" t="s">
        <v>766</v>
      </c>
      <c r="D187" s="4" t="s">
        <v>767</v>
      </c>
    </row>
    <row r="188" ht="15.75" customHeight="1">
      <c r="C188" s="4" t="s">
        <v>768</v>
      </c>
      <c r="D188" s="4" t="s">
        <v>769</v>
      </c>
    </row>
    <row r="189" ht="15.75" customHeight="1">
      <c r="C189" s="4" t="s">
        <v>770</v>
      </c>
      <c r="D189" s="4" t="s">
        <v>771</v>
      </c>
    </row>
    <row r="190" ht="15.75" customHeight="1">
      <c r="C190" s="4" t="s">
        <v>772</v>
      </c>
      <c r="D190" s="4" t="s">
        <v>773</v>
      </c>
    </row>
    <row r="191" ht="15.75" customHeight="1">
      <c r="C191" s="4" t="s">
        <v>774</v>
      </c>
      <c r="D191" s="4" t="s">
        <v>775</v>
      </c>
    </row>
    <row r="192" ht="15.75" customHeight="1">
      <c r="C192" s="4" t="s">
        <v>776</v>
      </c>
      <c r="D192" s="4" t="s">
        <v>777</v>
      </c>
    </row>
    <row r="193" ht="15.75" customHeight="1">
      <c r="C193" s="4" t="s">
        <v>778</v>
      </c>
      <c r="D193" s="4" t="s">
        <v>779</v>
      </c>
    </row>
    <row r="194" ht="15.75" customHeight="1">
      <c r="C194" s="4" t="s">
        <v>780</v>
      </c>
      <c r="D194" s="4" t="s">
        <v>781</v>
      </c>
    </row>
    <row r="195" ht="15.75" customHeight="1">
      <c r="C195" s="4" t="s">
        <v>782</v>
      </c>
      <c r="D195" s="4" t="s">
        <v>783</v>
      </c>
    </row>
    <row r="196" ht="15.75" customHeight="1">
      <c r="C196" s="4" t="s">
        <v>784</v>
      </c>
      <c r="D196" s="4" t="s">
        <v>785</v>
      </c>
    </row>
    <row r="197" ht="15.75" customHeight="1">
      <c r="C197" s="4" t="s">
        <v>786</v>
      </c>
      <c r="D197" s="4" t="s">
        <v>787</v>
      </c>
    </row>
    <row r="198" ht="15.75" customHeight="1">
      <c r="C198" s="4" t="s">
        <v>788</v>
      </c>
      <c r="D198" s="4" t="s">
        <v>789</v>
      </c>
    </row>
    <row r="199" ht="15.75" customHeight="1">
      <c r="C199" s="4" t="s">
        <v>790</v>
      </c>
      <c r="D199" s="4" t="s">
        <v>791</v>
      </c>
    </row>
    <row r="200" ht="15.75" customHeight="1">
      <c r="C200" s="4" t="s">
        <v>792</v>
      </c>
      <c r="D200" s="4" t="s">
        <v>793</v>
      </c>
    </row>
    <row r="201" ht="15.75" customHeight="1">
      <c r="C201" s="4" t="s">
        <v>794</v>
      </c>
      <c r="D201" s="4" t="s">
        <v>795</v>
      </c>
    </row>
    <row r="202" ht="15.75" customHeight="1">
      <c r="C202" s="4" t="s">
        <v>796</v>
      </c>
      <c r="D202" s="4" t="s">
        <v>797</v>
      </c>
    </row>
    <row r="203" ht="15.75" customHeight="1">
      <c r="C203" s="4" t="s">
        <v>798</v>
      </c>
      <c r="D203" s="4" t="s">
        <v>799</v>
      </c>
    </row>
    <row r="204" ht="15.75" customHeight="1">
      <c r="C204" s="4" t="s">
        <v>800</v>
      </c>
      <c r="D204" s="4" t="s">
        <v>801</v>
      </c>
    </row>
    <row r="205" ht="15.75" customHeight="1">
      <c r="C205" s="4" t="s">
        <v>802</v>
      </c>
      <c r="D205" s="4" t="s">
        <v>803</v>
      </c>
    </row>
    <row r="206" ht="15.75" customHeight="1">
      <c r="C206" s="4" t="s">
        <v>804</v>
      </c>
      <c r="D206" s="4" t="s">
        <v>805</v>
      </c>
    </row>
    <row r="207" ht="15.75" customHeight="1">
      <c r="C207" s="4" t="s">
        <v>806</v>
      </c>
      <c r="D207" s="4" t="s">
        <v>807</v>
      </c>
    </row>
    <row r="208" ht="15.75" customHeight="1">
      <c r="C208" s="4" t="s">
        <v>808</v>
      </c>
      <c r="D208" s="4" t="s">
        <v>809</v>
      </c>
    </row>
    <row r="209" ht="15.75" customHeight="1">
      <c r="C209" s="4" t="s">
        <v>810</v>
      </c>
      <c r="D209" s="4" t="s">
        <v>811</v>
      </c>
    </row>
    <row r="210" ht="15.75" customHeight="1">
      <c r="C210" s="4" t="s">
        <v>812</v>
      </c>
      <c r="D210" s="4" t="s">
        <v>813</v>
      </c>
    </row>
    <row r="211" ht="15.75" customHeight="1">
      <c r="C211" s="4" t="s">
        <v>814</v>
      </c>
      <c r="D211" s="4" t="s">
        <v>815</v>
      </c>
    </row>
    <row r="212" ht="15.75" customHeight="1">
      <c r="C212" s="4" t="s">
        <v>816</v>
      </c>
      <c r="D212" s="4" t="s">
        <v>817</v>
      </c>
    </row>
    <row r="213" ht="15.75" customHeight="1">
      <c r="C213" s="4" t="s">
        <v>818</v>
      </c>
      <c r="D213" s="4" t="s">
        <v>819</v>
      </c>
    </row>
    <row r="214" ht="15.75" customHeight="1">
      <c r="C214" s="4" t="s">
        <v>820</v>
      </c>
      <c r="D214" s="4" t="s">
        <v>821</v>
      </c>
    </row>
    <row r="215" ht="15.75" customHeight="1">
      <c r="C215" s="4" t="s">
        <v>822</v>
      </c>
      <c r="D215" s="4" t="s">
        <v>823</v>
      </c>
    </row>
    <row r="216" ht="15.75" customHeight="1">
      <c r="C216" s="4" t="s">
        <v>824</v>
      </c>
      <c r="D216" s="4" t="s">
        <v>825</v>
      </c>
    </row>
    <row r="217" ht="15.75" customHeight="1">
      <c r="C217" s="4" t="s">
        <v>826</v>
      </c>
      <c r="D217" s="4" t="s">
        <v>827</v>
      </c>
    </row>
    <row r="218" ht="15.75" customHeight="1">
      <c r="C218" s="4" t="s">
        <v>828</v>
      </c>
      <c r="D218" s="4" t="s">
        <v>829</v>
      </c>
    </row>
    <row r="219" ht="15.75" customHeight="1">
      <c r="C219" s="4" t="s">
        <v>830</v>
      </c>
      <c r="D219" s="4" t="s">
        <v>329</v>
      </c>
    </row>
    <row r="220" ht="15.75" customHeight="1">
      <c r="C220" s="4" t="s">
        <v>831</v>
      </c>
      <c r="D220" s="4" t="s">
        <v>832</v>
      </c>
    </row>
    <row r="221" ht="15.75" customHeight="1">
      <c r="C221" s="4" t="s">
        <v>833</v>
      </c>
      <c r="D221" s="4" t="s">
        <v>834</v>
      </c>
    </row>
    <row r="222" ht="15.75" customHeight="1">
      <c r="C222" s="4" t="s">
        <v>835</v>
      </c>
      <c r="D222" s="4" t="s">
        <v>836</v>
      </c>
    </row>
    <row r="223" ht="15.75" customHeight="1">
      <c r="C223" s="4" t="s">
        <v>837</v>
      </c>
      <c r="D223" s="4" t="s">
        <v>838</v>
      </c>
    </row>
    <row r="224" ht="15.75" customHeight="1">
      <c r="C224" s="4" t="s">
        <v>839</v>
      </c>
      <c r="D224" s="4" t="s">
        <v>840</v>
      </c>
    </row>
    <row r="225" ht="15.75" customHeight="1">
      <c r="C225" s="4" t="s">
        <v>841</v>
      </c>
      <c r="D225" s="4" t="s">
        <v>842</v>
      </c>
    </row>
    <row r="226" ht="15.75" customHeight="1">
      <c r="C226" s="4" t="s">
        <v>843</v>
      </c>
      <c r="D226" s="4" t="s">
        <v>844</v>
      </c>
    </row>
    <row r="227" ht="15.75" customHeight="1">
      <c r="C227" s="4" t="s">
        <v>845</v>
      </c>
      <c r="D227" s="4" t="s">
        <v>846</v>
      </c>
    </row>
    <row r="228" ht="15.75" customHeight="1">
      <c r="C228" s="4" t="s">
        <v>847</v>
      </c>
      <c r="D228" s="4" t="s">
        <v>848</v>
      </c>
    </row>
    <row r="229" ht="15.75" customHeight="1">
      <c r="C229" s="4" t="s">
        <v>849</v>
      </c>
      <c r="D229" s="4" t="s">
        <v>850</v>
      </c>
    </row>
    <row r="230" ht="15.75" customHeight="1">
      <c r="C230" s="4" t="s">
        <v>851</v>
      </c>
      <c r="D230" s="4" t="s">
        <v>852</v>
      </c>
    </row>
    <row r="231" ht="15.75" customHeight="1">
      <c r="C231" s="4" t="s">
        <v>853</v>
      </c>
      <c r="D231" s="4" t="s">
        <v>854</v>
      </c>
    </row>
    <row r="232" ht="15.75" customHeight="1">
      <c r="C232" s="4" t="s">
        <v>855</v>
      </c>
      <c r="D232" s="4" t="s">
        <v>856</v>
      </c>
    </row>
    <row r="233" ht="15.75" customHeight="1">
      <c r="C233" s="4" t="s">
        <v>857</v>
      </c>
      <c r="D233" s="4" t="s">
        <v>858</v>
      </c>
    </row>
    <row r="234" ht="15.75" customHeight="1">
      <c r="C234" s="4" t="s">
        <v>859</v>
      </c>
      <c r="D234" s="4" t="s">
        <v>860</v>
      </c>
    </row>
    <row r="235" ht="15.75" customHeight="1">
      <c r="C235" s="4" t="s">
        <v>861</v>
      </c>
      <c r="D235" s="4" t="s">
        <v>862</v>
      </c>
    </row>
    <row r="236" ht="15.75" customHeight="1">
      <c r="C236" s="4" t="s">
        <v>863</v>
      </c>
      <c r="D236" s="4" t="s">
        <v>864</v>
      </c>
    </row>
    <row r="237" ht="15.75" customHeight="1">
      <c r="C237" s="4" t="s">
        <v>865</v>
      </c>
      <c r="D237" s="4" t="s">
        <v>866</v>
      </c>
    </row>
    <row r="238" ht="15.75" customHeight="1">
      <c r="C238" s="4" t="s">
        <v>867</v>
      </c>
      <c r="D238" s="4" t="s">
        <v>868</v>
      </c>
    </row>
    <row r="239" ht="15.75" customHeight="1">
      <c r="C239" s="4" t="s">
        <v>869</v>
      </c>
      <c r="D239" s="4" t="s">
        <v>870</v>
      </c>
    </row>
    <row r="240" ht="15.75" customHeight="1">
      <c r="C240" s="4" t="s">
        <v>327</v>
      </c>
      <c r="D240" s="4" t="s">
        <v>871</v>
      </c>
    </row>
    <row r="241" ht="15.75" customHeight="1">
      <c r="C241" s="4" t="s">
        <v>465</v>
      </c>
      <c r="D241" s="4" t="s">
        <v>872</v>
      </c>
    </row>
    <row r="242" ht="15.75" customHeight="1">
      <c r="C242" s="4" t="s">
        <v>873</v>
      </c>
      <c r="D242" s="4" t="s">
        <v>874</v>
      </c>
    </row>
    <row r="243" ht="15.75" customHeight="1">
      <c r="C243" s="4" t="s">
        <v>875</v>
      </c>
      <c r="D243" s="4" t="s">
        <v>876</v>
      </c>
    </row>
    <row r="244" ht="15.75" customHeight="1">
      <c r="C244" s="4" t="s">
        <v>877</v>
      </c>
      <c r="D244" s="4" t="s">
        <v>878</v>
      </c>
    </row>
    <row r="245" ht="15.75" customHeight="1">
      <c r="C245" s="4" t="s">
        <v>879</v>
      </c>
      <c r="D245" s="4" t="s">
        <v>880</v>
      </c>
    </row>
    <row r="246" ht="15.75" customHeight="1">
      <c r="C246" s="4" t="s">
        <v>881</v>
      </c>
      <c r="D246" s="4" t="s">
        <v>882</v>
      </c>
    </row>
    <row r="247" ht="15.75" customHeight="1">
      <c r="C247" s="4" t="s">
        <v>883</v>
      </c>
      <c r="D247" s="4" t="s">
        <v>884</v>
      </c>
    </row>
    <row r="248" ht="15.75" customHeight="1">
      <c r="C248" s="4" t="s">
        <v>885</v>
      </c>
      <c r="D248" s="4" t="s">
        <v>886</v>
      </c>
    </row>
    <row r="249" ht="15.75" customHeight="1">
      <c r="C249" s="4" t="s">
        <v>887</v>
      </c>
      <c r="D249" s="4" t="s">
        <v>888</v>
      </c>
    </row>
    <row r="250" ht="15.75" customHeight="1">
      <c r="C250" s="4" t="s">
        <v>889</v>
      </c>
      <c r="D250" s="4" t="s">
        <v>890</v>
      </c>
    </row>
    <row r="251" ht="15.75" customHeight="1">
      <c r="C251" s="4" t="s">
        <v>891</v>
      </c>
      <c r="D251" s="4" t="s">
        <v>892</v>
      </c>
    </row>
    <row r="252" ht="15.75" customHeight="1">
      <c r="C252" s="4" t="s">
        <v>893</v>
      </c>
      <c r="D252" s="4" t="s">
        <v>894</v>
      </c>
    </row>
    <row r="253" ht="15.75" customHeight="1">
      <c r="C253" s="4" t="s">
        <v>895</v>
      </c>
      <c r="D253" s="4" t="s">
        <v>896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2026-09-23T06:08:38Z</dcterms:created>
  <dc:creator>openpyxl</dc:creator>
</cp:coreProperties>
</file>